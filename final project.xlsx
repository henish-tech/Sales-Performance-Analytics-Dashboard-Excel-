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AYUR MAKVANA\Downloads\"/>
    </mc:Choice>
  </mc:AlternateContent>
  <xr:revisionPtr revIDLastSave="0" documentId="13_ncr:1_{42052B06-4F1E-4292-91B2-A6513C46D4DD}" xr6:coauthVersionLast="47" xr6:coauthVersionMax="47" xr10:uidLastSave="{00000000-0000-0000-0000-000000000000}"/>
  <bookViews>
    <workbookView xWindow="1125" yWindow="1125" windowWidth="14595" windowHeight="10200" firstSheet="2" xr2:uid="{D0EE2CDF-6351-4D01-9D7D-978F8D5964BA}"/>
  </bookViews>
  <sheets>
    <sheet name="Dashboard" sheetId="11" r:id="rId1"/>
    <sheet name="top Customers" sheetId="12" r:id="rId2"/>
    <sheet name="Top Products" sheetId="13" r:id="rId3"/>
    <sheet name="pivot and charts" sheetId="10" r:id="rId4"/>
    <sheet name="Row_Data" sheetId="2" r:id="rId5"/>
    <sheet name="Data_cleaning" sheetId="1" r:id="rId6"/>
    <sheet name="groupby using formulas" sheetId="3" r:id="rId7"/>
    <sheet name="what if" sheetId="4" r:id="rId8"/>
    <sheet name="Scenario Summary 3" sheetId="8" r:id="rId9"/>
    <sheet name="regression" sheetId="9" r:id="rId10"/>
  </sheets>
  <definedNames>
    <definedName name="Slicer_month">#N/A</definedName>
    <definedName name="Slicer_Product_Name">#N/A</definedName>
    <definedName name="Slicer_Region">#N/A</definedName>
    <definedName name="Slicer_year">#N/A</definedName>
  </definedNames>
  <calcPr calcId="191029" iterate="1" iterateCount="1" iterateDelta="0"/>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S3" i="11"/>
  <c r="S2" i="11"/>
  <c r="S5" i="11"/>
  <c r="S6" i="11"/>
  <c r="S4" i="11"/>
  <c r="S1" i="11"/>
  <c r="B12" i="4" l="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T1" i="2" a="1"/>
  <c r="T1" i="2" s="1"/>
  <c r="K2" i="3" a="1"/>
  <c r="K2" i="3" s="1"/>
  <c r="L2" i="3" s="1"/>
  <c r="A2" i="3" a="1"/>
  <c r="A2" i="3" s="1"/>
  <c r="B2" i="3" s="1"/>
  <c r="D2" i="3" a="1"/>
  <c r="D2" i="3" s="1"/>
  <c r="E2" i="3" s="1"/>
  <c r="G2" i="3" a="1"/>
  <c r="G2" i="3" s="1"/>
  <c r="H2" i="3" s="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I33" i="3" l="1"/>
  <c r="I31" i="3"/>
  <c r="L5" i="3"/>
  <c r="L4" i="3"/>
  <c r="I32" i="3"/>
  <c r="L3" i="3"/>
  <c r="I30" i="3"/>
  <c r="I29" i="3"/>
  <c r="I28" i="3"/>
  <c r="I17" i="3"/>
  <c r="I48" i="3"/>
  <c r="I16" i="3"/>
  <c r="B51" i="3"/>
  <c r="I47" i="3"/>
  <c r="I15" i="3"/>
  <c r="E9" i="3"/>
  <c r="I46" i="3"/>
  <c r="I14" i="3"/>
  <c r="E8" i="3"/>
  <c r="I45" i="3"/>
  <c r="I13" i="3"/>
  <c r="I27" i="3"/>
  <c r="I26" i="3"/>
  <c r="I49" i="3"/>
  <c r="E7" i="3"/>
  <c r="I44" i="3"/>
  <c r="I12" i="3"/>
  <c r="H48" i="3"/>
  <c r="I43" i="3"/>
  <c r="I11" i="3"/>
  <c r="L6" i="3"/>
  <c r="I42" i="3"/>
  <c r="I10" i="3"/>
  <c r="I41" i="3"/>
  <c r="I25" i="3"/>
  <c r="I9" i="3"/>
  <c r="I40" i="3"/>
  <c r="I24" i="3"/>
  <c r="I8" i="3"/>
  <c r="I39" i="3"/>
  <c r="I23" i="3"/>
  <c r="I7" i="3"/>
  <c r="B50" i="3"/>
  <c r="I38" i="3"/>
  <c r="I22" i="3"/>
  <c r="I6" i="3"/>
  <c r="B49" i="3"/>
  <c r="I37" i="3"/>
  <c r="I21" i="3"/>
  <c r="I5" i="3"/>
  <c r="B19" i="3"/>
  <c r="I2" i="3"/>
  <c r="I36" i="3"/>
  <c r="I20" i="3"/>
  <c r="I4" i="3"/>
  <c r="B18" i="3"/>
  <c r="I51" i="3"/>
  <c r="I35" i="3"/>
  <c r="I19" i="3"/>
  <c r="I3" i="3"/>
  <c r="E10" i="3"/>
  <c r="I50" i="3"/>
  <c r="I34" i="3"/>
  <c r="I18" i="3"/>
  <c r="B48" i="3"/>
  <c r="B31" i="3"/>
  <c r="B30" i="3"/>
  <c r="B22" i="3"/>
  <c r="B21" i="3"/>
  <c r="B20" i="3"/>
  <c r="H47" i="3"/>
  <c r="H46" i="3"/>
  <c r="B47" i="3"/>
  <c r="B17" i="3"/>
  <c r="H32" i="3"/>
  <c r="B46" i="3"/>
  <c r="B16" i="3"/>
  <c r="H31" i="3"/>
  <c r="B38" i="3"/>
  <c r="B15" i="3"/>
  <c r="H30" i="3"/>
  <c r="B37" i="3"/>
  <c r="B14" i="3"/>
  <c r="H16" i="3"/>
  <c r="B36" i="3"/>
  <c r="B6" i="3"/>
  <c r="H15" i="3"/>
  <c r="B35" i="3"/>
  <c r="B5" i="3"/>
  <c r="H14" i="3"/>
  <c r="B34" i="3"/>
  <c r="B4" i="3"/>
  <c r="L9" i="3"/>
  <c r="B33" i="3"/>
  <c r="B3" i="3"/>
  <c r="L8" i="3"/>
  <c r="B32" i="3"/>
  <c r="E11" i="3"/>
  <c r="L7" i="3"/>
  <c r="H45" i="3"/>
  <c r="H29" i="3"/>
  <c r="H13" i="3"/>
  <c r="H44" i="3"/>
  <c r="H28" i="3"/>
  <c r="H12" i="3"/>
  <c r="H43" i="3"/>
  <c r="H27" i="3"/>
  <c r="H11" i="3"/>
  <c r="H25" i="3"/>
  <c r="B43" i="3"/>
  <c r="B27" i="3"/>
  <c r="B11" i="3"/>
  <c r="E4" i="3"/>
  <c r="H37" i="3"/>
  <c r="H21" i="3"/>
  <c r="H5" i="3"/>
  <c r="B42" i="3"/>
  <c r="B26" i="3"/>
  <c r="B10" i="3"/>
  <c r="E3" i="3"/>
  <c r="H36" i="3"/>
  <c r="H20" i="3"/>
  <c r="H4" i="3"/>
  <c r="B28" i="3"/>
  <c r="B25" i="3"/>
  <c r="H51" i="3"/>
  <c r="H3" i="3"/>
  <c r="B40" i="3"/>
  <c r="B24" i="3"/>
  <c r="B8" i="3"/>
  <c r="H50" i="3"/>
  <c r="H34" i="3"/>
  <c r="H18" i="3"/>
  <c r="L11" i="3"/>
  <c r="H42" i="3"/>
  <c r="H26" i="3"/>
  <c r="H10" i="3"/>
  <c r="H41" i="3"/>
  <c r="H9" i="3"/>
  <c r="H40" i="3"/>
  <c r="H24" i="3"/>
  <c r="H8" i="3"/>
  <c r="B45" i="3"/>
  <c r="B29" i="3"/>
  <c r="B13" i="3"/>
  <c r="E6" i="3"/>
  <c r="H39" i="3"/>
  <c r="H23" i="3"/>
  <c r="H7" i="3"/>
  <c r="B44" i="3"/>
  <c r="B12" i="3"/>
  <c r="E5" i="3"/>
  <c r="H38" i="3"/>
  <c r="H22" i="3"/>
  <c r="H6" i="3"/>
  <c r="B41" i="3"/>
  <c r="B9" i="3"/>
  <c r="H35" i="3"/>
  <c r="H19" i="3"/>
  <c r="B39" i="3"/>
  <c r="B23" i="3"/>
  <c r="B7" i="3"/>
  <c r="H49" i="3"/>
  <c r="H33" i="3"/>
  <c r="H17" i="3"/>
  <c r="L10" i="3"/>
  <c r="K15" i="3" l="1"/>
  <c r="L15" i="3"/>
  <c r="T2" i="1" l="1"/>
  <c r="U2" i="1"/>
  <c r="V2" i="1"/>
  <c r="T3" i="1"/>
  <c r="U3" i="1"/>
  <c r="V3" i="1"/>
  <c r="T4" i="1"/>
  <c r="U4" i="1"/>
  <c r="V4" i="1"/>
  <c r="T5" i="1"/>
  <c r="U5" i="1"/>
  <c r="V5" i="1"/>
  <c r="T6" i="1"/>
  <c r="U6" i="1"/>
  <c r="V6" i="1"/>
  <c r="T7" i="1"/>
  <c r="U7" i="1"/>
  <c r="V7" i="1"/>
  <c r="T8" i="1"/>
  <c r="U8" i="1"/>
  <c r="V8" i="1"/>
  <c r="T9" i="1"/>
  <c r="U9" i="1"/>
  <c r="V9" i="1"/>
  <c r="T10" i="1"/>
  <c r="U10" i="1"/>
  <c r="V10" i="1"/>
  <c r="T11" i="1"/>
  <c r="U11" i="1"/>
  <c r="V11" i="1"/>
  <c r="T12" i="1"/>
  <c r="U12" i="1"/>
  <c r="V12" i="1"/>
  <c r="T13" i="1"/>
  <c r="U13" i="1"/>
  <c r="V13" i="1"/>
  <c r="T14" i="1"/>
  <c r="U14" i="1"/>
  <c r="V14" i="1"/>
  <c r="T15" i="1"/>
  <c r="U15" i="1"/>
  <c r="V15" i="1"/>
  <c r="T16" i="1"/>
  <c r="U16" i="1"/>
  <c r="V16" i="1"/>
  <c r="T17" i="1"/>
  <c r="U17" i="1"/>
  <c r="V17" i="1"/>
  <c r="T18" i="1"/>
  <c r="U18" i="1"/>
  <c r="V18" i="1"/>
  <c r="T19" i="1"/>
  <c r="U19" i="1"/>
  <c r="V19" i="1"/>
  <c r="T20" i="1"/>
  <c r="U20" i="1"/>
  <c r="V20" i="1"/>
  <c r="T21" i="1"/>
  <c r="U21" i="1"/>
  <c r="V21" i="1"/>
  <c r="T22" i="1"/>
  <c r="U22" i="1"/>
  <c r="V22" i="1"/>
  <c r="T23" i="1"/>
  <c r="U23" i="1"/>
  <c r="V23" i="1"/>
  <c r="T24" i="1"/>
  <c r="U24" i="1"/>
  <c r="V24" i="1"/>
  <c r="T25" i="1"/>
  <c r="U25" i="1"/>
  <c r="V25" i="1"/>
  <c r="T26" i="1"/>
  <c r="U26" i="1"/>
  <c r="V26" i="1"/>
  <c r="T27" i="1"/>
  <c r="U27" i="1"/>
  <c r="V27" i="1"/>
  <c r="T28" i="1"/>
  <c r="U28" i="1"/>
  <c r="V28" i="1"/>
  <c r="T29" i="1"/>
  <c r="U29" i="1"/>
  <c r="V29" i="1"/>
  <c r="T30" i="1"/>
  <c r="U30" i="1"/>
  <c r="V30" i="1"/>
  <c r="T31" i="1"/>
  <c r="U31" i="1"/>
  <c r="V31" i="1"/>
  <c r="T32" i="1"/>
  <c r="U32" i="1"/>
  <c r="V32" i="1"/>
  <c r="T33" i="1"/>
  <c r="U33" i="1"/>
  <c r="V33" i="1"/>
  <c r="T34" i="1"/>
  <c r="U34" i="1"/>
  <c r="V34" i="1"/>
  <c r="T35" i="1"/>
  <c r="U35" i="1"/>
  <c r="V35" i="1"/>
  <c r="T36" i="1"/>
  <c r="U36" i="1"/>
  <c r="V36" i="1"/>
  <c r="T37" i="1"/>
  <c r="U37" i="1"/>
  <c r="V37" i="1"/>
  <c r="T38" i="1"/>
  <c r="U38" i="1"/>
  <c r="V38" i="1"/>
  <c r="T39" i="1"/>
  <c r="U39" i="1"/>
  <c r="V39" i="1"/>
  <c r="T40" i="1"/>
  <c r="U40" i="1"/>
  <c r="V40" i="1"/>
  <c r="T41" i="1"/>
  <c r="U41" i="1"/>
  <c r="V41" i="1"/>
  <c r="T42" i="1"/>
  <c r="U42" i="1"/>
  <c r="V42" i="1"/>
  <c r="T43" i="1"/>
  <c r="U43" i="1"/>
  <c r="V43" i="1"/>
  <c r="T44" i="1"/>
  <c r="U44" i="1"/>
  <c r="V44" i="1"/>
  <c r="T45" i="1"/>
  <c r="U45" i="1"/>
  <c r="V45" i="1"/>
  <c r="T46" i="1"/>
  <c r="U46" i="1"/>
  <c r="V46" i="1"/>
  <c r="T47" i="1"/>
  <c r="U47" i="1"/>
  <c r="V47" i="1"/>
  <c r="T48" i="1"/>
  <c r="U48" i="1"/>
  <c r="V48" i="1"/>
  <c r="T49" i="1"/>
  <c r="U49" i="1"/>
  <c r="V49" i="1"/>
  <c r="T50" i="1"/>
  <c r="U50" i="1"/>
  <c r="V50" i="1"/>
  <c r="T51" i="1"/>
  <c r="U51" i="1"/>
  <c r="V51" i="1"/>
  <c r="T52" i="1"/>
  <c r="U52" i="1"/>
  <c r="V52" i="1"/>
  <c r="T53" i="1"/>
  <c r="U53" i="1"/>
  <c r="V53" i="1"/>
  <c r="T54" i="1"/>
  <c r="U54" i="1"/>
  <c r="V54" i="1"/>
  <c r="T55" i="1"/>
  <c r="U55" i="1"/>
  <c r="V55" i="1"/>
  <c r="T56" i="1"/>
  <c r="U56" i="1"/>
  <c r="V56" i="1"/>
  <c r="T57" i="1"/>
  <c r="U57" i="1"/>
  <c r="V57" i="1"/>
  <c r="T58" i="1"/>
  <c r="U58" i="1"/>
  <c r="V58" i="1"/>
  <c r="T59" i="1"/>
  <c r="U59" i="1"/>
  <c r="V59" i="1"/>
  <c r="T60" i="1"/>
  <c r="U60" i="1"/>
  <c r="V60" i="1"/>
  <c r="T61" i="1"/>
  <c r="U61" i="1"/>
  <c r="V61" i="1"/>
  <c r="T62" i="1"/>
  <c r="U62" i="1"/>
  <c r="V62" i="1"/>
  <c r="T63" i="1"/>
  <c r="U63" i="1"/>
  <c r="V63" i="1"/>
  <c r="T64" i="1"/>
  <c r="U64" i="1"/>
  <c r="V64" i="1"/>
  <c r="T65" i="1"/>
  <c r="U65" i="1"/>
  <c r="V65" i="1"/>
  <c r="T66" i="1"/>
  <c r="U66" i="1"/>
  <c r="V66" i="1"/>
  <c r="T67" i="1"/>
  <c r="U67" i="1"/>
  <c r="V67" i="1"/>
  <c r="T68" i="1"/>
  <c r="U68" i="1"/>
  <c r="V68" i="1"/>
  <c r="T69" i="1"/>
  <c r="U69" i="1"/>
  <c r="V69" i="1"/>
  <c r="T70" i="1"/>
  <c r="U70" i="1"/>
  <c r="V70" i="1"/>
  <c r="T71" i="1"/>
  <c r="U71" i="1"/>
  <c r="V71" i="1"/>
  <c r="T72" i="1"/>
  <c r="U72" i="1"/>
  <c r="V72" i="1"/>
  <c r="T73" i="1"/>
  <c r="U73" i="1"/>
  <c r="V73" i="1"/>
  <c r="T74" i="1"/>
  <c r="U74" i="1"/>
  <c r="V74" i="1"/>
  <c r="T75" i="1"/>
  <c r="U75" i="1"/>
  <c r="V75" i="1"/>
  <c r="T76" i="1"/>
  <c r="U76" i="1"/>
  <c r="V76" i="1"/>
  <c r="T77" i="1"/>
  <c r="U77" i="1"/>
  <c r="V77" i="1"/>
  <c r="T78" i="1"/>
  <c r="U78" i="1"/>
  <c r="V78" i="1"/>
  <c r="T79" i="1"/>
  <c r="U79" i="1"/>
  <c r="V79" i="1"/>
  <c r="T80" i="1"/>
  <c r="U80" i="1"/>
  <c r="V80" i="1"/>
  <c r="T81" i="1"/>
  <c r="U81" i="1"/>
  <c r="V81" i="1"/>
  <c r="T82" i="1"/>
  <c r="U82" i="1"/>
  <c r="V82" i="1"/>
  <c r="T83" i="1"/>
  <c r="U83" i="1"/>
  <c r="V83" i="1"/>
  <c r="T84" i="1"/>
  <c r="U84" i="1"/>
  <c r="V84" i="1"/>
  <c r="T85" i="1"/>
  <c r="U85" i="1"/>
  <c r="V85" i="1"/>
  <c r="T86" i="1"/>
  <c r="U86" i="1"/>
  <c r="V86" i="1"/>
  <c r="T87" i="1"/>
  <c r="U87" i="1"/>
  <c r="V87" i="1"/>
  <c r="T88" i="1"/>
  <c r="U88" i="1"/>
  <c r="V88" i="1"/>
  <c r="T89" i="1"/>
  <c r="U89" i="1"/>
  <c r="V89" i="1"/>
  <c r="T90" i="1"/>
  <c r="U90" i="1"/>
  <c r="V90" i="1"/>
  <c r="T91" i="1"/>
  <c r="U91" i="1"/>
  <c r="V91" i="1"/>
  <c r="T92" i="1"/>
  <c r="U92" i="1"/>
  <c r="V92" i="1"/>
  <c r="T93" i="1"/>
  <c r="U93" i="1"/>
  <c r="V93" i="1"/>
  <c r="T94" i="1"/>
  <c r="U94" i="1"/>
  <c r="V94" i="1"/>
  <c r="T95" i="1"/>
  <c r="U95" i="1"/>
  <c r="V95" i="1"/>
  <c r="T96" i="1"/>
  <c r="U96" i="1"/>
  <c r="V96" i="1"/>
  <c r="T97" i="1"/>
  <c r="U97" i="1"/>
  <c r="V97" i="1"/>
  <c r="T98" i="1"/>
  <c r="U98" i="1"/>
  <c r="V98" i="1"/>
  <c r="T99" i="1"/>
  <c r="U99" i="1"/>
  <c r="V99" i="1"/>
  <c r="T100" i="1"/>
  <c r="U100" i="1"/>
  <c r="V100" i="1"/>
  <c r="T101" i="1"/>
  <c r="U101" i="1"/>
  <c r="V101" i="1"/>
  <c r="T102" i="1"/>
  <c r="U102" i="1"/>
  <c r="V102" i="1"/>
  <c r="T103" i="1"/>
  <c r="U103" i="1"/>
  <c r="V103" i="1"/>
  <c r="T104" i="1"/>
  <c r="U104" i="1"/>
  <c r="V104" i="1"/>
  <c r="T105" i="1"/>
  <c r="U105" i="1"/>
  <c r="V105" i="1"/>
  <c r="T106" i="1"/>
  <c r="U106" i="1"/>
  <c r="V106" i="1"/>
  <c r="T107" i="1"/>
  <c r="U107" i="1"/>
  <c r="V107" i="1"/>
  <c r="T108" i="1"/>
  <c r="U108" i="1"/>
  <c r="V108" i="1"/>
  <c r="T109" i="1"/>
  <c r="U109" i="1"/>
  <c r="V109" i="1"/>
  <c r="T110" i="1"/>
  <c r="U110" i="1"/>
  <c r="V110" i="1"/>
  <c r="T111" i="1"/>
  <c r="U111" i="1"/>
  <c r="V111" i="1"/>
  <c r="T112" i="1"/>
  <c r="U112" i="1"/>
  <c r="V112" i="1"/>
  <c r="T113" i="1"/>
  <c r="U113" i="1"/>
  <c r="V113" i="1"/>
  <c r="T114" i="1"/>
  <c r="U114" i="1"/>
  <c r="V114" i="1"/>
  <c r="T115" i="1"/>
  <c r="U115" i="1"/>
  <c r="V115" i="1"/>
  <c r="T116" i="1"/>
  <c r="U116" i="1"/>
  <c r="V116" i="1"/>
  <c r="T117" i="1"/>
  <c r="U117" i="1"/>
  <c r="V117" i="1"/>
  <c r="T118" i="1"/>
  <c r="U118" i="1"/>
  <c r="V118" i="1"/>
  <c r="T119" i="1"/>
  <c r="U119" i="1"/>
  <c r="V119" i="1"/>
  <c r="T120" i="1"/>
  <c r="U120" i="1"/>
  <c r="V120" i="1"/>
  <c r="T121" i="1"/>
  <c r="U121" i="1"/>
  <c r="V121" i="1"/>
  <c r="T122" i="1"/>
  <c r="U122" i="1"/>
  <c r="V122" i="1"/>
  <c r="T123" i="1"/>
  <c r="U123" i="1"/>
  <c r="V123" i="1"/>
  <c r="T124" i="1"/>
  <c r="U124" i="1"/>
  <c r="V124" i="1"/>
  <c r="T125" i="1"/>
  <c r="U125" i="1"/>
  <c r="V125" i="1"/>
  <c r="T126" i="1"/>
  <c r="U126" i="1"/>
  <c r="V126" i="1"/>
  <c r="T127" i="1"/>
  <c r="U127" i="1"/>
  <c r="V127" i="1"/>
  <c r="T128" i="1"/>
  <c r="U128" i="1"/>
  <c r="V128" i="1"/>
  <c r="T129" i="1"/>
  <c r="U129" i="1"/>
  <c r="V129" i="1"/>
  <c r="T130" i="1"/>
  <c r="U130" i="1"/>
  <c r="V130" i="1"/>
  <c r="T131" i="1"/>
  <c r="U131" i="1"/>
  <c r="V131" i="1"/>
  <c r="T132" i="1"/>
  <c r="U132" i="1"/>
  <c r="V132" i="1"/>
  <c r="T133" i="1"/>
  <c r="U133" i="1"/>
  <c r="V133" i="1"/>
  <c r="T134" i="1"/>
  <c r="U134" i="1"/>
  <c r="V134" i="1"/>
  <c r="T135" i="1"/>
  <c r="U135" i="1"/>
  <c r="V135" i="1"/>
  <c r="T136" i="1"/>
  <c r="U136" i="1"/>
  <c r="V136" i="1"/>
  <c r="T137" i="1"/>
  <c r="U137" i="1"/>
  <c r="V137" i="1"/>
  <c r="T138" i="1"/>
  <c r="U138" i="1"/>
  <c r="V138" i="1"/>
  <c r="T139" i="1"/>
  <c r="U139" i="1"/>
  <c r="V139" i="1"/>
  <c r="T140" i="1"/>
  <c r="U140" i="1"/>
  <c r="V140" i="1"/>
  <c r="T141" i="1"/>
  <c r="U141" i="1"/>
  <c r="V141" i="1"/>
  <c r="T142" i="1"/>
  <c r="U142" i="1"/>
  <c r="V142" i="1"/>
  <c r="T143" i="1"/>
  <c r="U143" i="1"/>
  <c r="V143" i="1"/>
  <c r="T144" i="1"/>
  <c r="U144" i="1"/>
  <c r="V144" i="1"/>
  <c r="T145" i="1"/>
  <c r="U145" i="1"/>
  <c r="V145" i="1"/>
  <c r="T146" i="1"/>
  <c r="U146" i="1"/>
  <c r="V146" i="1"/>
  <c r="T147" i="1"/>
  <c r="U147" i="1"/>
  <c r="V147" i="1"/>
  <c r="T148" i="1"/>
  <c r="U148" i="1"/>
  <c r="V148" i="1"/>
  <c r="T149" i="1"/>
  <c r="U149" i="1"/>
  <c r="V149" i="1"/>
  <c r="T150" i="1"/>
  <c r="U150" i="1"/>
  <c r="V150" i="1"/>
  <c r="T151" i="1"/>
  <c r="U151" i="1"/>
  <c r="V151" i="1"/>
  <c r="T152" i="1"/>
  <c r="U152" i="1"/>
  <c r="V152" i="1"/>
  <c r="T153" i="1"/>
  <c r="U153" i="1"/>
  <c r="V153" i="1"/>
  <c r="T154" i="1"/>
  <c r="U154" i="1"/>
  <c r="V154" i="1"/>
  <c r="T155" i="1"/>
  <c r="U155" i="1"/>
  <c r="V155" i="1"/>
  <c r="T156" i="1"/>
  <c r="U156" i="1"/>
  <c r="V156" i="1"/>
  <c r="T157" i="1"/>
  <c r="U157" i="1"/>
  <c r="V157" i="1"/>
  <c r="T158" i="1"/>
  <c r="U158" i="1"/>
  <c r="V158" i="1"/>
  <c r="T159" i="1"/>
  <c r="U159" i="1"/>
  <c r="V159" i="1"/>
  <c r="T160" i="1"/>
  <c r="U160" i="1"/>
  <c r="V160" i="1"/>
  <c r="T161" i="1"/>
  <c r="U161" i="1"/>
  <c r="V161" i="1"/>
  <c r="T162" i="1"/>
  <c r="U162" i="1"/>
  <c r="V162" i="1"/>
  <c r="T163" i="1"/>
  <c r="U163" i="1"/>
  <c r="V163" i="1"/>
  <c r="T164" i="1"/>
  <c r="U164" i="1"/>
  <c r="V164" i="1"/>
  <c r="T165" i="1"/>
  <c r="U165" i="1"/>
  <c r="V165" i="1"/>
  <c r="T166" i="1"/>
  <c r="U166" i="1"/>
  <c r="V166" i="1"/>
  <c r="T167" i="1"/>
  <c r="U167" i="1"/>
  <c r="V167" i="1"/>
  <c r="T168" i="1"/>
  <c r="U168" i="1"/>
  <c r="V168" i="1"/>
  <c r="T169" i="1"/>
  <c r="U169" i="1"/>
  <c r="V169" i="1"/>
  <c r="T170" i="1"/>
  <c r="U170" i="1"/>
  <c r="V170" i="1"/>
  <c r="T171" i="1"/>
  <c r="U171" i="1"/>
  <c r="V171" i="1"/>
  <c r="T172" i="1"/>
  <c r="U172" i="1"/>
  <c r="V172" i="1"/>
  <c r="T173" i="1"/>
  <c r="U173" i="1"/>
  <c r="V173" i="1"/>
  <c r="T174" i="1"/>
  <c r="U174" i="1"/>
  <c r="V174" i="1"/>
  <c r="T175" i="1"/>
  <c r="U175" i="1"/>
  <c r="V175" i="1"/>
  <c r="T176" i="1"/>
  <c r="U176" i="1"/>
  <c r="V176" i="1"/>
  <c r="T177" i="1"/>
  <c r="U177" i="1"/>
  <c r="V177" i="1"/>
  <c r="T178" i="1"/>
  <c r="U178" i="1"/>
  <c r="V178" i="1"/>
  <c r="T179" i="1"/>
  <c r="U179" i="1"/>
  <c r="V179" i="1"/>
  <c r="T180" i="1"/>
  <c r="U180" i="1"/>
  <c r="V180" i="1"/>
  <c r="T181" i="1"/>
  <c r="U181" i="1"/>
  <c r="V181" i="1"/>
  <c r="T182" i="1"/>
  <c r="U182" i="1"/>
  <c r="V182" i="1"/>
  <c r="T183" i="1"/>
  <c r="U183" i="1"/>
  <c r="V183" i="1"/>
  <c r="T184" i="1"/>
  <c r="U184" i="1"/>
  <c r="V184" i="1"/>
  <c r="T185" i="1"/>
  <c r="U185" i="1"/>
  <c r="V185" i="1"/>
  <c r="T186" i="1"/>
  <c r="U186" i="1"/>
  <c r="V186" i="1"/>
  <c r="T187" i="1"/>
  <c r="U187" i="1"/>
  <c r="V187" i="1"/>
  <c r="T188" i="1"/>
  <c r="U188" i="1"/>
  <c r="V188" i="1"/>
  <c r="T189" i="1"/>
  <c r="U189" i="1"/>
  <c r="V189" i="1"/>
  <c r="T190" i="1"/>
  <c r="U190" i="1"/>
  <c r="V190" i="1"/>
  <c r="T191" i="1"/>
  <c r="U191" i="1"/>
  <c r="V191" i="1"/>
  <c r="T192" i="1"/>
  <c r="U192" i="1"/>
  <c r="V192" i="1"/>
  <c r="T193" i="1"/>
  <c r="U193" i="1"/>
  <c r="V193" i="1"/>
  <c r="T194" i="1"/>
  <c r="U194" i="1"/>
  <c r="V194" i="1"/>
  <c r="T195" i="1"/>
  <c r="U195" i="1"/>
  <c r="V195" i="1"/>
  <c r="T196" i="1"/>
  <c r="U196" i="1"/>
  <c r="V196" i="1"/>
  <c r="T197" i="1"/>
  <c r="U197" i="1"/>
  <c r="V197" i="1"/>
  <c r="T198" i="1"/>
  <c r="U198" i="1"/>
  <c r="V198" i="1"/>
  <c r="T199" i="1"/>
  <c r="U199" i="1"/>
  <c r="V199" i="1"/>
  <c r="T200" i="1"/>
  <c r="U200" i="1"/>
  <c r="V200" i="1"/>
  <c r="T201" i="1"/>
  <c r="U201" i="1"/>
  <c r="V201" i="1"/>
  <c r="T202" i="1"/>
  <c r="U202" i="1"/>
  <c r="V202" i="1"/>
  <c r="T203" i="1"/>
  <c r="U203" i="1"/>
  <c r="V203" i="1"/>
  <c r="T204" i="1"/>
  <c r="U204" i="1"/>
  <c r="V204" i="1"/>
  <c r="T205" i="1"/>
  <c r="U205" i="1"/>
  <c r="V205" i="1"/>
  <c r="T206" i="1"/>
  <c r="U206" i="1"/>
  <c r="V206" i="1"/>
  <c r="T207" i="1"/>
  <c r="U207" i="1"/>
  <c r="V207" i="1"/>
  <c r="T208" i="1"/>
  <c r="U208" i="1"/>
  <c r="V208" i="1"/>
  <c r="T209" i="1"/>
  <c r="U209" i="1"/>
  <c r="V209" i="1"/>
  <c r="T210" i="1"/>
  <c r="U210" i="1"/>
  <c r="V210" i="1"/>
  <c r="T211" i="1"/>
  <c r="U211" i="1"/>
  <c r="V211" i="1"/>
  <c r="T212" i="1"/>
  <c r="U212" i="1"/>
  <c r="V212" i="1"/>
  <c r="T213" i="1"/>
  <c r="U213" i="1"/>
  <c r="V213" i="1"/>
  <c r="T214" i="1"/>
  <c r="U214" i="1"/>
  <c r="V214" i="1"/>
  <c r="T215" i="1"/>
  <c r="U215" i="1"/>
  <c r="V215" i="1"/>
  <c r="T216" i="1"/>
  <c r="U216" i="1"/>
  <c r="V216" i="1"/>
  <c r="T217" i="1"/>
  <c r="U217" i="1"/>
  <c r="V217" i="1"/>
  <c r="T218" i="1"/>
  <c r="U218" i="1"/>
  <c r="V218" i="1"/>
  <c r="T219" i="1"/>
  <c r="U219" i="1"/>
  <c r="V219" i="1"/>
  <c r="T220" i="1"/>
  <c r="U220" i="1"/>
  <c r="V220" i="1"/>
  <c r="T221" i="1"/>
  <c r="U221" i="1"/>
  <c r="V221" i="1"/>
  <c r="T222" i="1"/>
  <c r="U222" i="1"/>
  <c r="V222" i="1"/>
  <c r="T223" i="1"/>
  <c r="U223" i="1"/>
  <c r="V223" i="1"/>
  <c r="T224" i="1"/>
  <c r="U224" i="1"/>
  <c r="V224" i="1"/>
  <c r="T225" i="1"/>
  <c r="U225" i="1"/>
  <c r="V225" i="1"/>
  <c r="T226" i="1"/>
  <c r="U226" i="1"/>
  <c r="V226" i="1"/>
  <c r="T227" i="1"/>
  <c r="U227" i="1"/>
  <c r="V227" i="1"/>
  <c r="T228" i="1"/>
  <c r="U228" i="1"/>
  <c r="V228" i="1"/>
  <c r="T229" i="1"/>
  <c r="U229" i="1"/>
  <c r="V229" i="1"/>
  <c r="T230" i="1"/>
  <c r="U230" i="1"/>
  <c r="V230" i="1"/>
  <c r="T231" i="1"/>
  <c r="U231" i="1"/>
  <c r="V231" i="1"/>
  <c r="T232" i="1"/>
  <c r="U232" i="1"/>
  <c r="V232" i="1"/>
  <c r="T233" i="1"/>
  <c r="U233" i="1"/>
  <c r="V233" i="1"/>
  <c r="T234" i="1"/>
  <c r="U234" i="1"/>
  <c r="V234" i="1"/>
  <c r="T235" i="1"/>
  <c r="U235" i="1"/>
  <c r="V235" i="1"/>
  <c r="T236" i="1"/>
  <c r="U236" i="1"/>
  <c r="V236" i="1"/>
  <c r="T237" i="1"/>
  <c r="U237" i="1"/>
  <c r="V237" i="1"/>
  <c r="T238" i="1"/>
  <c r="U238" i="1"/>
  <c r="V238" i="1"/>
  <c r="T239" i="1"/>
  <c r="U239" i="1"/>
  <c r="V239" i="1"/>
  <c r="T240" i="1"/>
  <c r="U240" i="1"/>
  <c r="V240" i="1"/>
  <c r="T241" i="1"/>
  <c r="U241" i="1"/>
  <c r="V241" i="1"/>
  <c r="T242" i="1"/>
  <c r="U242" i="1"/>
  <c r="V242" i="1"/>
  <c r="T243" i="1"/>
  <c r="U243" i="1"/>
  <c r="V243" i="1"/>
  <c r="T244" i="1"/>
  <c r="U244" i="1"/>
  <c r="V244" i="1"/>
  <c r="T245" i="1"/>
  <c r="U245" i="1"/>
  <c r="V245" i="1"/>
  <c r="T246" i="1"/>
  <c r="U246" i="1"/>
  <c r="V246" i="1"/>
  <c r="T247" i="1"/>
  <c r="U247" i="1"/>
  <c r="V247" i="1"/>
  <c r="T248" i="1"/>
  <c r="U248" i="1"/>
  <c r="V248" i="1"/>
  <c r="T249" i="1"/>
  <c r="U249" i="1"/>
  <c r="V249" i="1"/>
  <c r="T250" i="1"/>
  <c r="U250" i="1"/>
  <c r="V250" i="1"/>
  <c r="T251" i="1"/>
  <c r="U251" i="1"/>
  <c r="V251" i="1"/>
  <c r="X2" i="1" l="1"/>
  <c r="X3" i="1"/>
  <c r="Z3" i="1" a="1"/>
  <c r="Z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<sst xmlns="http://schemas.openxmlformats.org/spreadsheetml/2006/main" count="4700" uniqueCount="487">
  <si>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</si>
  <si>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</si>
  <si>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</si>
  <si>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</si>
  <si>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</si>
  <si>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</si>
  <si>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</si>
  <si>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</si>
  <si>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</si>
  <si>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</si>
  <si>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</si>
  <si>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</si>
  <si>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</si>
  <si>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</si>
  <si>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</si>
  <si>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</si>
  <si>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</si>
  <si>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</si>
  <si>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</si>
  <si>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</si>
  <si>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</si>
  <si>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</si>
  <si>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</si>
  <si>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</si>
  <si>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</si>
  <si>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</si>
  <si>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</si>
  <si>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</si>
  <si>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</si>
  <si>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</si>
  <si>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</si>
  <si>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</si>
  <si>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</si>
  <si>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</si>
  <si>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</si>
  <si>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</si>
  <si>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</si>
  <si>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</si>
  <si>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</si>
  <si>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</si>
  <si>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</si>
  <si>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</si>
  <si>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</si>
  <si>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</si>
  <si>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</si>
  <si>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</si>
  <si>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</si>
  <si>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</si>
  <si>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</si>
  <si>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</si>
  <si>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</si>
  <si>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</si>
  <si>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</si>
  <si>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</si>
  <si>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</si>
  <si>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</si>
  <si>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</si>
  <si>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</si>
  <si>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</si>
  <si>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</si>
  <si>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</si>
  <si>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</si>
  <si>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</si>
  <si>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</si>
  <si>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</si>
  <si>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</si>
  <si>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</si>
  <si>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</si>
  <si>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</si>
  <si>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</si>
  <si>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</si>
  <si>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</si>
  <si>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</si>
  <si>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</si>
  <si>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</si>
  <si>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</si>
  <si>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</si>
  <si>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</si>
  <si>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</si>
  <si>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</si>
  <si>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</si>
  <si>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</si>
  <si>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</si>
  <si>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</si>
  <si>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</si>
  <si>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</si>
  <si>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</si>
  <si>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</si>
  <si>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</si>
  <si>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</si>
  <si>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</si>
  <si>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</si>
  <si>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</si>
  <si>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</si>
  <si>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</si>
  <si>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</si>
  <si>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</si>
  <si>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</si>
  <si>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</si>
  <si>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</si>
  <si>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</si>
  <si>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</si>
  <si>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</si>
  <si>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</si>
  <si>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</si>
  <si>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</si>
  <si>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</si>
  <si>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</si>
  <si>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</si>
  <si>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</si>
  <si>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</si>
  <si>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</si>
  <si>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</si>
  <si>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</si>
  <si>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</si>
  <si>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</si>
  <si>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</si>
  <si>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</si>
  <si>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</si>
  <si>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</si>
  <si>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</si>
  <si>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</si>
  <si>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</si>
  <si>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</si>
  <si>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</si>
  <si>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</si>
  <si>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</si>
  <si>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</si>
  <si>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</si>
  <si>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</si>
  <si>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</si>
  <si>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</si>
  <si>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</si>
  <si>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</si>
  <si>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</si>
  <si>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</si>
  <si>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</si>
  <si>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</si>
  <si>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</si>
  <si>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</si>
  <si>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</si>
  <si>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</si>
  <si>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</si>
  <si>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</si>
  <si>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</si>
  <si>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</si>
  <si>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</si>
  <si>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</si>
  <si>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</si>
  <si>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</si>
  <si>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</si>
  <si>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</si>
  <si>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</si>
  <si>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</si>
  <si>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</si>
  <si>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</si>
  <si>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</si>
  <si>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</si>
  <si>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</si>
  <si>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</si>
  <si>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</si>
  <si>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</si>
  <si>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</si>
  <si>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</si>
  <si>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</si>
  <si>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</si>
  <si>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</si>
  <si>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</si>
  <si>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</si>
  <si>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</si>
  <si>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</si>
  <si>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</si>
  <si>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</si>
  <si>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</si>
  <si>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</si>
  <si>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</si>
  <si>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</si>
  <si>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</si>
  <si>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</si>
  <si>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</si>
  <si>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</si>
  <si>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</si>
  <si>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</si>
  <si>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</si>
  <si>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</si>
  <si>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</si>
  <si>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</si>
  <si>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</si>
  <si>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</si>
  <si>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</si>
  <si>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</si>
  <si>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</si>
  <si>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</si>
  <si>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</si>
  <si>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</si>
  <si>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</si>
  <si>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</si>
  <si>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</si>
  <si>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</si>
  <si>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</si>
  <si>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</si>
  <si>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</si>
  <si>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</si>
  <si>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</si>
  <si>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</si>
  <si>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</si>
  <si>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</si>
  <si>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</si>
  <si>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</si>
  <si>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</si>
  <si>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</si>
  <si>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</si>
  <si>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</si>
  <si>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</si>
  <si>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</si>
  <si>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</si>
  <si>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</si>
  <si>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</si>
  <si>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</si>
  <si>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</si>
  <si>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</si>
  <si>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</si>
  <si>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</si>
  <si>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</si>
  <si>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</si>
  <si>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</si>
  <si>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</si>
  <si>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</si>
  <si>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</si>
  <si>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</si>
  <si>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</si>
  <si>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</si>
  <si>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</si>
  <si>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</si>
  <si>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</si>
  <si>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</si>
  <si>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</si>
  <si>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</si>
  <si>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</si>
  <si>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</si>
  <si>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</si>
  <si>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</si>
  <si>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</si>
  <si>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</si>
  <si>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</si>
  <si>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</si>
  <si>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</si>
  <si>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</si>
  <si>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</si>
  <si>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</si>
  <si>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</si>
  <si>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</si>
  <si>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</si>
  <si>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</si>
  <si>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</si>
  <si>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</si>
  <si>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</si>
  <si>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</si>
  <si>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</si>
  <si>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</si>
  <si>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</si>
  <si>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</si>
  <si>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</si>
  <si>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</si>
  <si>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</si>
  <si>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</si>
  <si>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</si>
  <si>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</si>
  <si>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</si>
  <si>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</si>
  <si>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</si>
  <si>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</si>
  <si>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</si>
  <si>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</si>
  <si>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</si>
  <si>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</si>
  <si>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</si>
  <si>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</si>
  <si>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</si>
  <si>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</si>
  <si>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</si>
  <si>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</si>
  <si>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</si>
  <si>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</si>
  <si>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</si>
  <si>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</si>
  <si>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</si>
  <si>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</si>
  <si>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</si>
  <si>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</si>
  <si>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</si>
  <si>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</si>
  <si>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</si>
  <si>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</si>
  <si>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</si>
  <si>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</si>
  <si>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</si>
  <si>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</si>
  <si>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</si>
  <si>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</si>
  <si>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</si>
  <si>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</si>
  <si>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</si>
  <si>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</si>
  <si>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</si>
  <si>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</si>
  <si>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</si>
  <si>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</si>
  <si>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</si>
  <si>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</si>
  <si>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</si>
  <si>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</si>
  <si>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</si>
  <si>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</si>
  <si>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</si>
  <si>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</si>
  <si>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</si>
  <si>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</si>
  <si>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</si>
  <si>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</si>
  <si>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</si>
  <si>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</si>
  <si>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</si>
  <si>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</si>
  <si>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</si>
  <si>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</si>
  <si>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</si>
  <si>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</si>
  <si>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</si>
  <si>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</si>
  <si>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</si>
  <si>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</si>
  <si>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</si>
  <si>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</si>
  <si>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</si>
  <si>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</si>
  <si>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</si>
  <si>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</si>
  <si>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</si>
  <si>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</si>
  <si>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</si>
  <si>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</si>
  <si>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</si>
  <si>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</si>
  <si>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</si>
  <si>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</si>
  <si>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</si>
  <si>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</si>
  <si>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</si>
  <si>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</si>
  <si>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</si>
  <si>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</si>
  <si>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</si>
  <si>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</si>
  <si>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</si>
  <si>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</si>
  <si>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</si>
  <si>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</si>
  <si>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</si>
  <si>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</si>
  <si>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</si>
  <si>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</si>
  <si>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</si>
  <si>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</si>
  <si>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</si>
  <si>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</si>
  <si>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</si>
  <si>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</si>
  <si>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</si>
  <si>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</si>
  <si>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</si>
  <si>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</si>
  <si>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</si>
  <si>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</si>
  <si>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</si>
  <si>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</si>
  <si>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</si>
  <si>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</si>
  <si>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</si>
  <si>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</si>
  <si>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</si>
  <si>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</si>
  <si>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</si>
  <si>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</si>
  <si>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</si>
  <si>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</si>
  <si>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</si>
  <si>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</si>
  <si>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</si>
  <si>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</si>
  <si>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</si>
  <si>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</si>
  <si>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</si>
  <si>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</si>
  <si>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</si>
  <si>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</si>
  <si>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</si>
  <si>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</si>
  <si>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</si>
  <si>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Today_Date</t>
  </si>
  <si>
    <t>current_Timestamp</t>
  </si>
  <si>
    <t>Order_Age_Days</t>
  </si>
  <si>
    <t>Month_End_Date</t>
  </si>
  <si>
    <t>created_Timestamp</t>
  </si>
  <si>
    <t>filter</t>
  </si>
  <si>
    <t>total sales per customer</t>
  </si>
  <si>
    <t>total sales by product</t>
  </si>
  <si>
    <t>order_count</t>
  </si>
  <si>
    <t>how many time purchased</t>
  </si>
  <si>
    <t>customer sort name</t>
  </si>
  <si>
    <t>region Code</t>
  </si>
  <si>
    <t>date_year</t>
  </si>
  <si>
    <t>product name</t>
  </si>
  <si>
    <t>product price</t>
  </si>
  <si>
    <t>quantity sold</t>
  </si>
  <si>
    <t>total amount</t>
  </si>
  <si>
    <t xml:space="preserve">target </t>
  </si>
  <si>
    <t>Goal sheak</t>
  </si>
  <si>
    <t>scenario</t>
  </si>
  <si>
    <t>Best case</t>
  </si>
  <si>
    <t>Created by MAYUR MAKVANA on 18-01-2026</t>
  </si>
  <si>
    <t>Scenario Summary</t>
  </si>
  <si>
    <t>Changing Cells:</t>
  </si>
  <si>
    <t>Current Values:</t>
  </si>
  <si>
    <t>Notes:  Current Values column represents values of changing cells at</t>
  </si>
  <si>
    <t>time Scenario Summary Report was created.  Changing cells for each</t>
  </si>
  <si>
    <t>scenario are highlighted in gray.</t>
  </si>
  <si>
    <t>unit price</t>
  </si>
  <si>
    <t>quantity</t>
  </si>
  <si>
    <t>discount %</t>
  </si>
  <si>
    <t>total slaes</t>
  </si>
  <si>
    <t>$B$9</t>
  </si>
  <si>
    <t>$B$10</t>
  </si>
  <si>
    <t>$B$11</t>
  </si>
  <si>
    <t>$B$12</t>
  </si>
  <si>
    <t>Created by MAYUR MAKVANA on 18-01-2026
Modified by MAYUR MAKVANA on 18-01-2026</t>
  </si>
  <si>
    <t>Result Cells:</t>
  </si>
  <si>
    <t>Average Case</t>
  </si>
  <si>
    <t>worst case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</si>
  <si>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</si>
  <si>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</si>
  <si>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</si>
  <si>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</si>
  <si>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</si>
  <si>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</si>
  <si>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</si>
  <si>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</si>
  <si>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</si>
  <si>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</si>
  <si>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</si>
  <si>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</si>
  <si>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</si>
  <si>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</si>
  <si>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</si>
  <si>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</si>
  <si>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</si>
  <si>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</si>
  <si>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</si>
  <si>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</si>
  <si>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</si>
  <si>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</si>
  <si>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</si>
  <si>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</si>
  <si>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Row Labels</t>
  </si>
  <si>
    <t>Grand Total</t>
  </si>
  <si>
    <t>Sum of Total_Amount</t>
  </si>
  <si>
    <t>Oct</t>
  </si>
  <si>
    <t>Nov</t>
  </si>
  <si>
    <t>Dec</t>
  </si>
  <si>
    <t>Jan</t>
  </si>
  <si>
    <t>Feb</t>
  </si>
  <si>
    <t>Mar</t>
  </si>
  <si>
    <t>Apr</t>
  </si>
  <si>
    <t>May</t>
  </si>
  <si>
    <t>Jun</t>
  </si>
  <si>
    <t>Jul</t>
  </si>
  <si>
    <t>Aug</t>
  </si>
  <si>
    <t>Sep</t>
  </si>
  <si>
    <t>month</t>
  </si>
  <si>
    <t>year</t>
  </si>
  <si>
    <t>Column Labels</t>
  </si>
  <si>
    <t>Count of Transaction_ID</t>
  </si>
  <si>
    <t>Sum of Quantity</t>
  </si>
  <si>
    <t>Most Sold product</t>
  </si>
  <si>
    <t>Top customer</t>
  </si>
  <si>
    <t>Premium Customer</t>
  </si>
  <si>
    <t>Quantity VS 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</si>
</sst>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4009]\ * #,##0.00_ ;_ [$₹-4009]\ * \-#,##0.00_ ;_ [$₹-4009]\ * &quot;-&quot;??_ ;_ @_ "/>
    <numFmt numFmtId="165" formatCode="[Green]\▲\ 0.00%;[Red]\▼\ 0.00%;0.00%"/>
  </numFmts>
  <fonts count="11" x14ac:knownFonts="1">
    <font>
      <sz val="11"/>
      <color theme="1"/>
      <name val="Calibri"/>
      <family val="2"/>
      <scheme val="minor"/>
    </font>
    <font>
      <b/>
      <sz val="11"/>
      <color theme="1"/>
      <name val="Calibri"/>
      <family val="2"/>
      <scheme val="minor"/>
    </font>
    <font>
      <b/>
      <sz val="11"/>
      <color theme="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11"/>
      <color theme="0"/>
      <name val="Calibri"/>
      <family val="2"/>
      <scheme val="minor"/>
    </font>
    <font>
      <sz val="20"/>
      <color theme="0"/>
      <name val="Calibri"/>
      <family val="2"/>
      <scheme val="minor"/>
    </font>
  </fonts>
  <fills count="9">
    <fill>
      <patternFill patternType="none"/>
    </fill>
    <fill>
      <patternFill patternType="gray125"/>
    </fill>
    <fill>
      <patternFill patternType="solid">
        <fgColor theme="4"/>
        <bgColor theme="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9" tint="-0.249977111117893"/>
        <bgColor indexed="64"/>
      </patternFill>
    </fill>
    <fill>
      <patternFill patternType="solid">
        <fgColor theme="9" tint="0.59999389629810485"/>
        <bgColor indexed="64"/>
      </patternFill>
    </fill>
    <fill>
      <patternFill patternType="solid">
        <fgColor theme="9" tint="-0.499984740745262"/>
        <bgColor indexed="64"/>
      </patternFill>
    </fill>
  </fills>
  <borders count="3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06">
    <xf numFmtId="0" fontId="0" fillId="0" borderId="0" xfId="0"/>
    <xf numFmtId="0" fontId="0" fillId="0" borderId="1" xfId="0" applyBorder="1" applyAlignment="1">
      <alignment wrapText="1"/>
    </xf>
    <xf numFmtId="0" fontId="1" fillId="0" borderId="1" xfId="0" applyFont="1" applyBorder="1" applyAlignment="1">
      <alignment wrapText="1"/>
    </xf>
    <xf numFmtId="14" fontId="0" fillId="0" borderId="1" xfId="0" applyNumberFormat="1" applyBorder="1" applyAlignment="1">
      <alignment horizontal="right" wrapText="1"/>
    </xf>
    <xf numFmtId="0" fontId="0" fillId="0" borderId="1" xfId="0" applyBorder="1" applyAlignment="1">
      <alignment horizontal="right" wrapText="1"/>
    </xf>
    <xf numFmtId="0" fontId="0" fillId="0" borderId="2" xfId="0"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0" fillId="0" borderId="7" xfId="0" applyBorder="1" applyAlignment="1">
      <alignment wrapText="1"/>
    </xf>
    <xf numFmtId="14" fontId="0" fillId="0" borderId="8" xfId="0" applyNumberFormat="1" applyBorder="1" applyAlignment="1">
      <alignment horizontal="right" wrapText="1"/>
    </xf>
    <xf numFmtId="0" fontId="0" fillId="0" borderId="8" xfId="0" applyBorder="1" applyAlignment="1">
      <alignment wrapText="1"/>
    </xf>
    <xf numFmtId="1" fontId="1" fillId="0" borderId="5" xfId="0" applyNumberFormat="1" applyFont="1" applyBorder="1" applyAlignment="1">
      <alignment wrapText="1"/>
    </xf>
    <xf numFmtId="1" fontId="0" fillId="0" borderId="1" xfId="0" applyNumberFormat="1" applyBorder="1" applyAlignment="1">
      <alignment horizontal="right" wrapText="1"/>
    </xf>
    <xf numFmtId="1" fontId="0" fillId="0" borderId="8" xfId="0" applyNumberFormat="1" applyBorder="1" applyAlignment="1">
      <alignment horizontal="right" wrapText="1"/>
    </xf>
    <xf numFmtId="1" fontId="0" fillId="0" borderId="0" xfId="0" applyNumberFormat="1"/>
    <xf numFmtId="164" fontId="1" fillId="0" borderId="5" xfId="0" applyNumberFormat="1" applyFont="1" applyBorder="1" applyAlignment="1">
      <alignment wrapText="1"/>
    </xf>
    <xf numFmtId="164" fontId="0" fillId="0" borderId="1" xfId="0" applyNumberFormat="1" applyBorder="1" applyAlignment="1">
      <alignment horizontal="right" wrapText="1"/>
    </xf>
    <xf numFmtId="164" fontId="0" fillId="0" borderId="8" xfId="0" applyNumberFormat="1" applyBorder="1" applyAlignment="1">
      <alignment horizontal="right" wrapText="1"/>
    </xf>
    <xf numFmtId="164" fontId="0" fillId="0" borderId="0" xfId="0" applyNumberFormat="1"/>
    <xf numFmtId="164" fontId="1" fillId="0" borderId="6" xfId="0" applyNumberFormat="1" applyFont="1" applyBorder="1" applyAlignment="1">
      <alignment wrapText="1"/>
    </xf>
    <xf numFmtId="164" fontId="0" fillId="0" borderId="3" xfId="0" applyNumberFormat="1" applyBorder="1" applyAlignment="1">
      <alignment horizontal="right" wrapText="1"/>
    </xf>
    <xf numFmtId="164" fontId="0" fillId="0" borderId="9" xfId="0" applyNumberFormat="1" applyBorder="1" applyAlignment="1">
      <alignment horizontal="right" wrapText="1"/>
    </xf>
    <xf numFmtId="14" fontId="0" fillId="0" borderId="5" xfId="0" applyNumberFormat="1" applyBorder="1" applyAlignment="1">
      <alignment wrapText="1"/>
    </xf>
    <xf numFmtId="14" fontId="0" fillId="0" borderId="1" xfId="0" applyNumberFormat="1" applyBorder="1" applyAlignment="1">
      <alignment wrapText="1"/>
    </xf>
    <xf numFmtId="14" fontId="0" fillId="0" borderId="8" xfId="0" applyNumberFormat="1" applyBorder="1" applyAlignment="1">
      <alignment wrapText="1"/>
    </xf>
    <xf numFmtId="0" fontId="0" fillId="0" borderId="0" xfId="0" applyAlignment="1">
      <alignment wrapText="1"/>
    </xf>
    <xf numFmtId="22" fontId="0" fillId="0" borderId="0" xfId="0" applyNumberFormat="1" applyAlignment="1">
      <alignment wrapText="1"/>
    </xf>
    <xf numFmtId="14" fontId="1" fillId="0" borderId="5" xfId="0" applyNumberFormat="1" applyFont="1" applyBorder="1" applyAlignment="1">
      <alignment wrapText="1"/>
    </xf>
    <xf numFmtId="14" fontId="0" fillId="0" borderId="0" xfId="0" applyNumberFormat="1" applyAlignment="1">
      <alignment wrapText="1"/>
    </xf>
    <xf numFmtId="14" fontId="0" fillId="0" borderId="0" xfId="0" applyNumberFormat="1"/>
    <xf numFmtId="0" fontId="2" fillId="2" borderId="1" xfId="0" applyFont="1" applyFill="1" applyBorder="1" applyAlignment="1">
      <alignment wrapText="1"/>
    </xf>
    <xf numFmtId="1" fontId="2" fillId="2" borderId="1" xfId="0" applyNumberFormat="1" applyFont="1" applyFill="1" applyBorder="1" applyAlignment="1">
      <alignment wrapText="1"/>
    </xf>
    <xf numFmtId="164" fontId="2" fillId="2" borderId="1" xfId="0" applyNumberFormat="1" applyFont="1" applyFill="1" applyBorder="1" applyAlignment="1">
      <alignment wrapText="1"/>
    </xf>
    <xf numFmtId="164" fontId="2" fillId="2" borderId="3" xfId="0" applyNumberFormat="1" applyFont="1" applyFill="1" applyBorder="1" applyAlignment="1">
      <alignment wrapText="1"/>
    </xf>
    <xf numFmtId="14" fontId="2" fillId="2" borderId="1" xfId="0" applyNumberFormat="1" applyFont="1" applyFill="1" applyBorder="1" applyAlignment="1">
      <alignment wrapText="1"/>
    </xf>
    <xf numFmtId="0" fontId="0" fillId="0" borderId="11" xfId="0" applyBorder="1"/>
    <xf numFmtId="0" fontId="3" fillId="3" borderId="12" xfId="0" applyFont="1" applyFill="1" applyBorder="1" applyAlignment="1">
      <alignment horizontal="left"/>
    </xf>
    <xf numFmtId="0" fontId="3" fillId="3" borderId="10" xfId="0" applyFont="1" applyFill="1" applyBorder="1" applyAlignment="1">
      <alignment horizontal="left"/>
    </xf>
    <xf numFmtId="0" fontId="0" fillId="0" borderId="13" xfId="0" applyBorder="1"/>
    <xf numFmtId="0" fontId="4" fillId="4" borderId="0" xfId="0" applyFont="1" applyFill="1" applyAlignment="1">
      <alignment horizontal="left"/>
    </xf>
    <xf numFmtId="0" fontId="5" fillId="4" borderId="13" xfId="0" applyFont="1" applyFill="1" applyBorder="1" applyAlignment="1">
      <alignment horizontal="left"/>
    </xf>
    <xf numFmtId="0" fontId="6" fillId="3" borderId="10" xfId="0" applyFont="1" applyFill="1" applyBorder="1" applyAlignment="1">
      <alignment horizontal="right"/>
    </xf>
    <xf numFmtId="0" fontId="6" fillId="3" borderId="12" xfId="0" applyFont="1" applyFill="1" applyBorder="1" applyAlignment="1">
      <alignment horizontal="right"/>
    </xf>
    <xf numFmtId="0" fontId="7" fillId="0" borderId="0" xfId="0" applyFont="1" applyAlignment="1">
      <alignment vertical="top" wrapText="1"/>
    </xf>
    <xf numFmtId="9" fontId="0" fillId="0" borderId="0" xfId="0" applyNumberFormat="1"/>
    <xf numFmtId="0" fontId="4" fillId="4" borderId="11" xfId="0" applyFont="1" applyFill="1" applyBorder="1" applyAlignment="1">
      <alignment horizontal="left"/>
    </xf>
    <xf numFmtId="0" fontId="0" fillId="5" borderId="0" xfId="0" applyFill="1"/>
    <xf numFmtId="9" fontId="0" fillId="5" borderId="0" xfId="0" applyNumberFormat="1" applyFill="1"/>
    <xf numFmtId="0" fontId="0" fillId="0" borderId="0" xfId="0" pivotButton="1"/>
    <xf numFmtId="0" fontId="0" fillId="0" borderId="0" xfId="0" applyAlignment="1">
      <alignment horizontal="left"/>
    </xf>
    <xf numFmtId="10" fontId="0" fillId="0" borderId="0" xfId="0" applyNumberFormat="1"/>
    <xf numFmtId="1" fontId="0" fillId="0" borderId="0" xfId="0" applyNumberFormat="1" applyAlignment="1">
      <alignment horizontal="left"/>
    </xf>
    <xf numFmtId="0" fontId="0" fillId="6" borderId="0" xfId="0" applyFill="1"/>
    <xf numFmtId="165" fontId="0" fillId="0" borderId="0" xfId="0" applyNumberFormat="1"/>
    <xf numFmtId="0" fontId="1" fillId="0" borderId="0" xfId="0" applyFont="1"/>
    <xf numFmtId="0" fontId="0" fillId="0" borderId="0" xfId="0" applyAlignment="1">
      <alignment horizontal="left" indent="1"/>
    </xf>
    <xf numFmtId="0" fontId="0" fillId="7" borderId="0" xfId="0" applyFill="1"/>
    <xf numFmtId="0" fontId="0" fillId="0" borderId="20" xfId="0" applyBorder="1"/>
    <xf numFmtId="0" fontId="0" fillId="0" borderId="22" xfId="0" applyBorder="1"/>
    <xf numFmtId="0" fontId="0" fillId="0" borderId="25" xfId="0" applyBorder="1" applyAlignment="1">
      <alignment wrapText="1"/>
    </xf>
    <xf numFmtId="0" fontId="0" fillId="0" borderId="26" xfId="0" applyBorder="1"/>
    <xf numFmtId="0" fontId="0" fillId="0" borderId="27" xfId="0" applyBorder="1" applyAlignment="1">
      <alignment wrapText="1"/>
    </xf>
    <xf numFmtId="0" fontId="0" fillId="0" borderId="28" xfId="0" applyBorder="1"/>
    <xf numFmtId="0" fontId="0" fillId="0" borderId="30" xfId="0" applyBorder="1"/>
    <xf numFmtId="0" fontId="2" fillId="6" borderId="23" xfId="0" applyFont="1" applyFill="1" applyBorder="1" applyAlignment="1">
      <alignment wrapText="1"/>
    </xf>
    <xf numFmtId="0" fontId="2" fillId="6" borderId="24" xfId="0" applyFont="1" applyFill="1" applyBorder="1"/>
    <xf numFmtId="0" fontId="2" fillId="6" borderId="29" xfId="0" applyFont="1" applyFill="1" applyBorder="1"/>
    <xf numFmtId="0" fontId="9" fillId="6" borderId="21" xfId="0" applyFont="1" applyFill="1" applyBorder="1" applyAlignment="1">
      <alignment wrapText="1"/>
    </xf>
    <xf numFmtId="0" fontId="9" fillId="6" borderId="21" xfId="0" applyFont="1" applyFill="1" applyBorder="1"/>
    <xf numFmtId="0" fontId="9" fillId="6" borderId="25" xfId="0" applyFont="1" applyFill="1" applyBorder="1"/>
    <xf numFmtId="0" fontId="9" fillId="6" borderId="26" xfId="0" applyFont="1" applyFill="1" applyBorder="1" applyAlignment="1">
      <alignment wrapText="1"/>
    </xf>
    <xf numFmtId="0" fontId="0" fillId="0" borderId="25" xfId="0" applyBorder="1"/>
    <xf numFmtId="1" fontId="0" fillId="0" borderId="26" xfId="0" applyNumberFormat="1" applyBorder="1" applyAlignment="1">
      <alignment horizontal="right" wrapText="1"/>
    </xf>
    <xf numFmtId="1" fontId="0" fillId="0" borderId="26" xfId="0" applyNumberFormat="1" applyBorder="1"/>
    <xf numFmtId="164" fontId="0" fillId="0" borderId="26" xfId="0" applyNumberFormat="1" applyBorder="1"/>
    <xf numFmtId="0" fontId="0" fillId="0" borderId="27" xfId="0" applyBorder="1"/>
    <xf numFmtId="9" fontId="0" fillId="0" borderId="26" xfId="0" applyNumberFormat="1" applyBorder="1"/>
    <xf numFmtId="0" fontId="8" fillId="0" borderId="20" xfId="0" applyFont="1" applyBorder="1" applyAlignment="1">
      <alignment horizontal="centerContinuous"/>
    </xf>
    <xf numFmtId="0" fontId="8" fillId="0" borderId="20" xfId="0" applyFont="1" applyBorder="1" applyAlignment="1">
      <alignment horizontal="center"/>
    </xf>
    <xf numFmtId="0" fontId="8" fillId="0" borderId="25" xfId="0" applyFont="1" applyBorder="1" applyAlignment="1">
      <alignment horizontal="centerContinuous"/>
    </xf>
    <xf numFmtId="0" fontId="8" fillId="0" borderId="25" xfId="0" applyFont="1" applyBorder="1" applyAlignment="1">
      <alignment horizontal="center"/>
    </xf>
    <xf numFmtId="0" fontId="8" fillId="0" borderId="26" xfId="0" applyFont="1" applyBorder="1" applyAlignment="1">
      <alignment horizontal="center"/>
    </xf>
    <xf numFmtId="164" fontId="9" fillId="0" borderId="0" xfId="0" applyNumberFormat="1" applyFont="1"/>
    <xf numFmtId="165" fontId="9" fillId="0" borderId="0" xfId="0" applyNumberFormat="1" applyFont="1"/>
    <xf numFmtId="0" fontId="9" fillId="0" borderId="0" xfId="0" applyFont="1"/>
    <xf numFmtId="0" fontId="0" fillId="7" borderId="14" xfId="0" applyFill="1" applyBorder="1"/>
    <xf numFmtId="0" fontId="0" fillId="7" borderId="10" xfId="0" applyFill="1" applyBorder="1"/>
    <xf numFmtId="0" fontId="0" fillId="7" borderId="15" xfId="0" applyFill="1" applyBorder="1"/>
    <xf numFmtId="0" fontId="0" fillId="7" borderId="16" xfId="0" applyFill="1" applyBorder="1"/>
    <xf numFmtId="0" fontId="0" fillId="7" borderId="17" xfId="0" applyFill="1" applyBorder="1"/>
    <xf numFmtId="0" fontId="0" fillId="7" borderId="18" xfId="0" applyFill="1" applyBorder="1"/>
    <xf numFmtId="0" fontId="0" fillId="7" borderId="11" xfId="0" applyFill="1" applyBorder="1"/>
    <xf numFmtId="0" fontId="0" fillId="7" borderId="19" xfId="0" applyFill="1" applyBorder="1"/>
    <xf numFmtId="164" fontId="0" fillId="7" borderId="17" xfId="0" applyNumberFormat="1" applyFill="1" applyBorder="1"/>
    <xf numFmtId="164" fontId="0" fillId="7" borderId="19" xfId="0" applyNumberFormat="1" applyFill="1" applyBorder="1"/>
    <xf numFmtId="0" fontId="0" fillId="7" borderId="16" xfId="0" applyFill="1" applyBorder="1" applyAlignment="1">
      <alignment horizontal="left"/>
    </xf>
    <xf numFmtId="1" fontId="0" fillId="7" borderId="17" xfId="0" applyNumberFormat="1" applyFill="1" applyBorder="1"/>
    <xf numFmtId="0" fontId="0" fillId="7" borderId="18" xfId="0" applyFill="1" applyBorder="1" applyAlignment="1">
      <alignment horizontal="left"/>
    </xf>
    <xf numFmtId="1" fontId="0" fillId="7" borderId="19" xfId="0" applyNumberFormat="1" applyFill="1" applyBorder="1"/>
    <xf numFmtId="0" fontId="9" fillId="8" borderId="23" xfId="0" applyFont="1" applyFill="1" applyBorder="1" applyAlignment="1">
      <alignment horizontal="center"/>
    </xf>
    <xf numFmtId="0" fontId="9" fillId="8" borderId="24" xfId="0" applyFont="1" applyFill="1" applyBorder="1" applyAlignment="1">
      <alignment horizontal="center"/>
    </xf>
    <xf numFmtId="0" fontId="9" fillId="6" borderId="23" xfId="0" applyFont="1" applyFill="1" applyBorder="1" applyAlignment="1">
      <alignment horizontal="center"/>
    </xf>
    <xf numFmtId="0" fontId="9" fillId="6" borderId="24" xfId="0" applyFont="1" applyFill="1" applyBorder="1" applyAlignment="1">
      <alignment horizontal="center"/>
    </xf>
    <xf numFmtId="0" fontId="10" fillId="8" borderId="23" xfId="0" applyFont="1" applyFill="1" applyBorder="1" applyAlignment="1">
      <alignment horizontal="center"/>
    </xf>
    <xf numFmtId="0" fontId="10" fillId="8" borderId="29" xfId="0" applyFont="1" applyFill="1" applyBorder="1" applyAlignment="1">
      <alignment horizontal="center"/>
    </xf>
    <xf numFmtId="0" fontId="10" fillId="8" borderId="24" xfId="0" applyFont="1" applyFill="1" applyBorder="1" applyAlignment="1">
      <alignment horizontal="center"/>
    </xf>
  </cellXfs>
  <cellStyles count="1">
    <cellStyle name="Normal" xfId="0" builtinId="0"/>
  </cellStyles>
  <dxfs count="61">
    <dxf>
      <font>
        <color theme="1"/>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27" formatCode="dd/mm/yyyy\ hh:mm"/>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27" formatCode="dd/mm/yyyy\ hh:mm"/>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_ [$₹-4009]\ * #,##0.00_ ;_ [$₹-4009]\ * \-#,##0.00_ ;_ [$₹-4009]\ * &quot;-&quot;??_ ;_ @_ "/>
      <alignment horizontal="right" vertical="bottom" textRotation="0" wrapText="1" indent="0" justifyLastLine="0" shrinkToFit="0" readingOrder="0"/>
      <border diagonalUp="0" diagonalDown="0" outline="0">
        <left style="medium">
          <color rgb="FFCCCCCC"/>
        </left>
        <right/>
        <top style="medium">
          <color rgb="FFCCCCCC"/>
        </top>
        <bottom style="medium">
          <color rgb="FFCCCCCC"/>
        </bottom>
      </border>
    </dxf>
    <dxf>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_ [$₹-4009]\ * #,##0.00_ ;_ [$₹-4009]\ * \-#,##0.00_ ;_ [$₹-4009]\ * &quot;-&quot;??_ ;_ @_ "/>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1" formatCode="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 formatCode="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1" formatCode="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general"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medium">
          <color rgb="FFCCCCCC"/>
        </left>
        <right style="medium">
          <color rgb="FFCCCCCC"/>
        </right>
        <top/>
        <bottom/>
      </border>
    </dxf>
    <dxf>
      <numFmt numFmtId="165" formatCode="[Green]\▲\ 0.00%;[Red]\▼\ 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color theme="1"/>
      </font>
      <border>
        <bottom style="thin">
          <color theme="4"/>
        </bottom>
        <vertical/>
        <horizontal/>
      </border>
    </dxf>
    <dxf>
      <font>
        <color theme="1"/>
      </font>
      <fill>
        <patternFill>
          <bgColor theme="9" tint="0.39994506668294322"/>
        </patternFill>
      </fill>
      <border diagonalUp="0" diagonalDown="0">
        <left/>
        <right/>
        <top/>
        <bottom/>
        <vertical/>
        <horizontal/>
      </border>
    </dxf>
  </dxfs>
  <tableStyles count="1" defaultTableStyle="TableStyleMedium2" defaultPivotStyle="PivotStyleLight16">
    <tableStyle name="SlicerStyleLight1 2" pivot="0" table="0" count="10" xr9:uid="{B54E0711-FED8-44CD-AA2E-2B1653A2A39E}">
      <tableStyleElement type="wholeTable" dxfId="60"/>
      <tableStyleElement type="headerRow" dxfId="59"/>
    </tableStyle>
  </tableStyles>
  <colors>
    <mruColors>
      <color rgb="FFFFFFFF"/>
      <color rgb="FF1F2937"/>
      <color rgb="FF374151"/>
      <color rgb="FF111827"/>
      <color rgb="FF0B3D2E"/>
      <color rgb="FF0F172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9" tint="0.59996337778862885"/>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and charts!region sales</c:name>
    <c:fmtId val="4"/>
  </c:pivotSource>
  <c:chart>
    <c:title>
      <c:tx>
        <c:rich>
          <a:bodyPr rot="0" spcFirstLastPara="1" vertOverflow="ellipsis" vert="horz" wrap="square" anchor="ctr" anchorCtr="1"/>
          <a:lstStyle/>
          <a:p>
            <a:pPr>
              <a:defRPr sz="1600" b="1" i="0" u="none" strike="noStrike" kern="1200" cap="all" spc="120" normalizeH="0" baseline="0">
                <a:solidFill>
                  <a:srgbClr val="0F172A"/>
                </a:solidFill>
                <a:latin typeface="+mn-lt"/>
                <a:ea typeface="+mn-ea"/>
                <a:cs typeface="+mn-cs"/>
              </a:defRPr>
            </a:pPr>
            <a:r>
              <a:rPr lang="en-US">
                <a:solidFill>
                  <a:srgbClr val="0F172A"/>
                </a:solidFill>
              </a:rPr>
              <a:t>Sales By region</a:t>
            </a:r>
          </a:p>
        </c:rich>
      </c:tx>
      <c:layout>
        <c:manualLayout>
          <c:xMode val="edge"/>
          <c:yMode val="edge"/>
          <c:x val="0.44239685761402858"/>
          <c:y val="3.251176071344114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0F172A"/>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rgbClr val="11182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charts'!$B$16</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rgbClr val="11182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and charts'!$A$17:$A$22</c:f>
              <c:strCache>
                <c:ptCount val="5"/>
                <c:pt idx="0">
                  <c:v>Central</c:v>
                </c:pt>
                <c:pt idx="1">
                  <c:v>East</c:v>
                </c:pt>
                <c:pt idx="2">
                  <c:v>North</c:v>
                </c:pt>
                <c:pt idx="3">
                  <c:v>South</c:v>
                </c:pt>
                <c:pt idx="4">
                  <c:v>West</c:v>
                </c:pt>
              </c:strCache>
            </c:strRef>
          </c:cat>
          <c:val>
            <c:numRef>
              <c:f>'pivot and charts'!$B$17:$B$22</c:f>
              <c:numCache>
                <c:formatCode>_ [$₹-4009]\ * #,##0.00_ ;_ [$₹-4009]\ * \-#,##0.00_ ;_ [$₹-4009]\ * "-"??_ ;_ @_ </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40E9-411A-856D-CDF99C6DA2DC}"/>
            </c:ext>
          </c:extLst>
        </c:ser>
        <c:dLbls>
          <c:dLblPos val="outEnd"/>
          <c:showLegendKey val="0"/>
          <c:showVal val="1"/>
          <c:showCatName val="0"/>
          <c:showSerName val="0"/>
          <c:showPercent val="0"/>
          <c:showBubbleSize val="0"/>
        </c:dLbls>
        <c:gapWidth val="444"/>
        <c:overlap val="-90"/>
        <c:axId val="1613475456"/>
        <c:axId val="110615120"/>
      </c:barChart>
      <c:catAx>
        <c:axId val="1613475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rgbClr val="1F2937"/>
                </a:solidFill>
                <a:latin typeface="+mn-lt"/>
                <a:ea typeface="+mn-ea"/>
                <a:cs typeface="+mn-cs"/>
              </a:defRPr>
            </a:pPr>
            <a:endParaRPr lang="en-US"/>
          </a:p>
        </c:txPr>
        <c:crossAx val="110615120"/>
        <c:crosses val="autoZero"/>
        <c:auto val="1"/>
        <c:lblAlgn val="ctr"/>
        <c:lblOffset val="100"/>
        <c:noMultiLvlLbl val="0"/>
      </c:catAx>
      <c:valAx>
        <c:axId val="110615120"/>
        <c:scaling>
          <c:orientation val="minMax"/>
        </c:scaling>
        <c:delete val="1"/>
        <c:axPos val="l"/>
        <c:numFmt formatCode="_ [$₹-4009]\ * #,##0.00_ ;_ [$₹-4009]\ * \-#,##0.00_ ;_ [$₹-4009]\ * &quot;-&quot;??_ ;_ @_ " sourceLinked="1"/>
        <c:majorTickMark val="none"/>
        <c:minorTickMark val="none"/>
        <c:tickLblPos val="nextTo"/>
        <c:crossAx val="161347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and charts!monthly sales</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rgbClr val="11182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rgbClr val="11182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and charts'!$J$4:$J$5</c:f>
              <c:strCache>
                <c:ptCount val="1"/>
                <c:pt idx="0">
                  <c:v>2024</c:v>
                </c:pt>
              </c:strCache>
            </c:strRef>
          </c:tx>
          <c:spPr>
            <a:ln w="28575" cap="rnd">
              <a:solidFill>
                <a:schemeClr val="accent1"/>
              </a:solidFill>
              <a:round/>
            </a:ln>
            <a:effectLst/>
          </c:spPr>
          <c:marker>
            <c:symbol val="none"/>
          </c:marker>
          <c:dLbls>
            <c:spPr>
              <a:noFill/>
              <a:ln>
                <a:noFill/>
              </a:ln>
              <a:effectLst/>
            </c:spPr>
            <c:txPr>
              <a:bodyPr rot="-5400000" spcFirstLastPara="1" vertOverflow="ellipsis" wrap="square" anchor="ctr" anchorCtr="1"/>
              <a:lstStyle/>
              <a:p>
                <a:pPr>
                  <a:defRPr sz="900" b="1" i="0" u="none" strike="noStrike" kern="1200" baseline="0">
                    <a:solidFill>
                      <a:srgbClr val="11182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and charts'!$I$6:$I$18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charts'!$J$6:$J$18</c:f>
              <c:numCache>
                <c:formatCode>_ [$₹-4009]\ * #,##0.00_ ;_ [$₹-4009]\ * \-#,##0.00_ ;_ [$₹-4009]\ * "-"??_ ;_ @_ </c:formatCode>
                <c:ptCount val="12"/>
                <c:pt idx="3">
                  <c:v>20919.330000000002</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ADF9-4273-BDFD-E40FE3F6F8C6}"/>
            </c:ext>
          </c:extLst>
        </c:ser>
        <c:ser>
          <c:idx val="1"/>
          <c:order val="1"/>
          <c:tx>
            <c:strRef>
              <c:f>'pivot and charts'!$K$4:$K$5</c:f>
              <c:strCache>
                <c:ptCount val="1"/>
                <c:pt idx="0">
                  <c:v>2025</c:v>
                </c:pt>
              </c:strCache>
            </c:strRef>
          </c:tx>
          <c:spPr>
            <a:ln w="28575" cap="rnd">
              <a:solidFill>
                <a:schemeClr val="accent2"/>
              </a:solidFill>
              <a:round/>
            </a:ln>
            <a:effectLst/>
          </c:spPr>
          <c:marker>
            <c:symbol val="none"/>
          </c:marker>
          <c:dLbls>
            <c:spPr>
              <a:noFill/>
              <a:ln>
                <a:noFill/>
              </a:ln>
              <a:effectLst/>
            </c:spPr>
            <c:txPr>
              <a:bodyPr rot="-5400000" spcFirstLastPara="1" vertOverflow="ellipsis" wrap="square" anchor="ctr" anchorCtr="1"/>
              <a:lstStyle/>
              <a:p>
                <a:pPr>
                  <a:defRPr sz="900" b="1" i="0" u="none" strike="noStrike" kern="1200" baseline="0">
                    <a:solidFill>
                      <a:srgbClr val="11182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and charts'!$I$6:$I$18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charts'!$K$6:$K$18</c:f>
              <c:numCache>
                <c:formatCode>_ [$₹-4009]\ * #,##0.00_ ;_ [$₹-4009]\ * \-#,##0.00_ ;_ [$₹-4009]\ * "-"??_ ;_ @_ </c:formatCode>
                <c:ptCount val="12"/>
                <c:pt idx="0">
                  <c:v>25799.15</c:v>
                </c:pt>
                <c:pt idx="1">
                  <c:v>16069.379999999997</c:v>
                </c:pt>
                <c:pt idx="2">
                  <c:v>19899.379999999997</c:v>
                </c:pt>
                <c:pt idx="3">
                  <c:v>6979.829999999999</c:v>
                </c:pt>
              </c:numCache>
            </c:numRef>
          </c:val>
          <c:smooth val="0"/>
          <c:extLst>
            <c:ext xmlns:c16="http://schemas.microsoft.com/office/drawing/2014/chart" uri="{C3380CC4-5D6E-409C-BE32-E72D297353CC}">
              <c16:uniqueId val="{00000008-0F83-4DAF-A798-DD1BFE1FD904}"/>
            </c:ext>
          </c:extLst>
        </c:ser>
        <c:dLbls>
          <c:showLegendKey val="0"/>
          <c:showVal val="1"/>
          <c:showCatName val="0"/>
          <c:showSerName val="0"/>
          <c:showPercent val="0"/>
          <c:showBubbleSize val="0"/>
        </c:dLbls>
        <c:smooth val="0"/>
        <c:axId val="1957573296"/>
        <c:axId val="1957573776"/>
      </c:lineChart>
      <c:catAx>
        <c:axId val="195757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100" b="1" i="0" u="none" strike="noStrike" kern="1200" baseline="0">
                <a:solidFill>
                  <a:srgbClr val="374151"/>
                </a:solidFill>
                <a:latin typeface="+mn-lt"/>
                <a:ea typeface="+mn-ea"/>
                <a:cs typeface="+mn-cs"/>
              </a:defRPr>
            </a:pPr>
            <a:endParaRPr lang="en-US"/>
          </a:p>
        </c:txPr>
        <c:crossAx val="1957573776"/>
        <c:crosses val="autoZero"/>
        <c:auto val="1"/>
        <c:lblAlgn val="ctr"/>
        <c:lblOffset val="100"/>
        <c:noMultiLvlLbl val="0"/>
      </c:catAx>
      <c:valAx>
        <c:axId val="1957573776"/>
        <c:scaling>
          <c:orientation val="minMax"/>
        </c:scaling>
        <c:delete val="1"/>
        <c:axPos val="l"/>
        <c:numFmt formatCode="_ [$₹-4009]\ * #,##0.00_ ;_ [$₹-4009]\ * \-#,##0.00_ ;_ [$₹-4009]\ * &quot;-&quot;??_ ;_ @_ " sourceLinked="1"/>
        <c:majorTickMark val="none"/>
        <c:minorTickMark val="none"/>
        <c:tickLblPos val="nextTo"/>
        <c:crossAx val="19575732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rot="-5400000" vert="horz"/>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and charts!PivotTable1</c:name>
    <c:fmtId val="5"/>
  </c:pivotSource>
  <c:chart>
    <c:title>
      <c:tx>
        <c:rich>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r>
              <a:rPr lang="en-US" b="1"/>
              <a:t>SALES</a:t>
            </a:r>
            <a:r>
              <a:rPr lang="en-US" b="1" baseline="0"/>
              <a:t> BY PRODUCT</a:t>
            </a:r>
          </a:p>
        </c:rich>
      </c:tx>
      <c:layout>
        <c:manualLayout>
          <c:xMode val="edge"/>
          <c:yMode val="edge"/>
          <c:x val="0.81575721505771415"/>
          <c:y val="2.859574621387816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charts'!$F$4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and charts'!$E$5:$E$18</c:f>
              <c:multiLvlStrCache>
                <c:ptCount val="10"/>
                <c:lvl>
                  <c:pt idx="0">
                    <c:v>Blender</c:v>
                  </c:pt>
                  <c:pt idx="1">
                    <c:v>Coffee Maker</c:v>
                  </c:pt>
                  <c:pt idx="2">
                    <c:v>Headphones</c:v>
                  </c:pt>
                  <c:pt idx="3">
                    <c:v>Keyboard</c:v>
                  </c:pt>
                  <c:pt idx="4">
                    <c:v>Laptop</c:v>
                  </c:pt>
                  <c:pt idx="5">
                    <c:v>Monitor</c:v>
                  </c:pt>
                  <c:pt idx="6">
                    <c:v>Smartphone</c:v>
                  </c:pt>
                  <c:pt idx="7">
                    <c:v>Bookshelf</c:v>
                  </c:pt>
                  <c:pt idx="8">
                    <c:v>Desk</c:v>
                  </c:pt>
                  <c:pt idx="9">
                    <c:v>Office Chair</c:v>
                  </c:pt>
                </c:lvl>
                <c:lvl>
                  <c:pt idx="0">
                    <c:v>Appliances</c:v>
                  </c:pt>
                  <c:pt idx="2">
                    <c:v>Electronics</c:v>
                  </c:pt>
                  <c:pt idx="7">
                    <c:v>Furniture</c:v>
                  </c:pt>
                </c:lvl>
              </c:multiLvlStrCache>
            </c:multiLvlStrRef>
          </c:cat>
          <c:val>
            <c:numRef>
              <c:f>'pivot and charts'!$F$5:$F$18</c:f>
              <c:numCache>
                <c:formatCode>0.00%</c:formatCode>
                <c:ptCount val="10"/>
                <c:pt idx="0">
                  <c:v>2.2771821430259021E-2</c:v>
                </c:pt>
                <c:pt idx="1">
                  <c:v>1.361131105223483E-2</c:v>
                </c:pt>
                <c:pt idx="2">
                  <c:v>3.0758122201833243E-2</c:v>
                </c:pt>
                <c:pt idx="3">
                  <c:v>3.4944908966686374E-2</c:v>
                </c:pt>
                <c:pt idx="4">
                  <c:v>0.29450902117333966</c:v>
                </c:pt>
                <c:pt idx="5">
                  <c:v>9.5985352398357593E-2</c:v>
                </c:pt>
                <c:pt idx="6">
                  <c:v>0.29319916138606122</c:v>
                </c:pt>
                <c:pt idx="7">
                  <c:v>6.6751669459297669E-2</c:v>
                </c:pt>
                <c:pt idx="8">
                  <c:v>0.10209419183797794</c:v>
                </c:pt>
                <c:pt idx="9">
                  <c:v>4.5374440093952473E-2</c:v>
                </c:pt>
              </c:numCache>
            </c:numRef>
          </c:val>
          <c:extLst>
            <c:ext xmlns:c16="http://schemas.microsoft.com/office/drawing/2014/chart" uri="{C3380CC4-5D6E-409C-BE32-E72D297353CC}">
              <c16:uniqueId val="{00000000-6B6D-497F-9E75-A2E219636C94}"/>
            </c:ext>
          </c:extLst>
        </c:ser>
        <c:dLbls>
          <c:dLblPos val="outEnd"/>
          <c:showLegendKey val="0"/>
          <c:showVal val="1"/>
          <c:showCatName val="0"/>
          <c:showSerName val="0"/>
          <c:showPercent val="0"/>
          <c:showBubbleSize val="0"/>
        </c:dLbls>
        <c:gapWidth val="219"/>
        <c:overlap val="-27"/>
        <c:axId val="1871570639"/>
        <c:axId val="1871563439"/>
      </c:barChart>
      <c:catAx>
        <c:axId val="187157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871563439"/>
        <c:crosses val="autoZero"/>
        <c:auto val="1"/>
        <c:lblAlgn val="ctr"/>
        <c:lblOffset val="100"/>
        <c:noMultiLvlLbl val="0"/>
      </c:catAx>
      <c:valAx>
        <c:axId val="187156343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7157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1F29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project.xlsx]top Customers!top customer</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Customers'!$E$1</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Customers'!$D$2:$D$12</c:f>
              <c:strCache>
                <c:ptCount val="10"/>
                <c:pt idx="0">
                  <c:v>Barbara Young</c:v>
                </c:pt>
                <c:pt idx="1">
                  <c:v>Daniel King</c:v>
                </c:pt>
                <c:pt idx="2">
                  <c:v>Dorothy Nelson</c:v>
                </c:pt>
                <c:pt idx="3">
                  <c:v>Edward Mitchell</c:v>
                </c:pt>
                <c:pt idx="4">
                  <c:v>Joseph Jackson</c:v>
                </c:pt>
                <c:pt idx="5">
                  <c:v>Karen Hill</c:v>
                </c:pt>
                <c:pt idx="6">
                  <c:v>Lawrence Reed</c:v>
                </c:pt>
                <c:pt idx="7">
                  <c:v>Mark Carter</c:v>
                </c:pt>
                <c:pt idx="8">
                  <c:v>Patricia Moore</c:v>
                </c:pt>
                <c:pt idx="9">
                  <c:v>Paul Baker</c:v>
                </c:pt>
              </c:strCache>
            </c:strRef>
          </c:cat>
          <c:val>
            <c:numRef>
              <c:f>'top Customers'!$E$2:$E$12</c:f>
              <c:numCache>
                <c:formatCode>_ [$₹-4009]\ * #,##0.00_ ;_ [$₹-4009]\ * \-#,##0.00_ ;_ [$₹-4009]\ * "-"??_ ;_ @_ </c:formatCode>
                <c:ptCount val="10"/>
                <c:pt idx="0">
                  <c:v>10649.8</c:v>
                </c:pt>
                <c:pt idx="1">
                  <c:v>7309.7999999999993</c:v>
                </c:pt>
                <c:pt idx="2">
                  <c:v>8269.7900000000009</c:v>
                </c:pt>
                <c:pt idx="3">
                  <c:v>11919.769999999999</c:v>
                </c:pt>
                <c:pt idx="4">
                  <c:v>6949.84</c:v>
                </c:pt>
                <c:pt idx="5">
                  <c:v>8009.7699999999995</c:v>
                </c:pt>
                <c:pt idx="6">
                  <c:v>6989.7699999999986</c:v>
                </c:pt>
                <c:pt idx="7">
                  <c:v>15659.65</c:v>
                </c:pt>
                <c:pt idx="8">
                  <c:v>9799.73</c:v>
                </c:pt>
                <c:pt idx="9">
                  <c:v>8309.739999999998</c:v>
                </c:pt>
              </c:numCache>
            </c:numRef>
          </c:val>
          <c:extLst>
            <c:ext xmlns:c16="http://schemas.microsoft.com/office/drawing/2014/chart" uri="{C3380CC4-5D6E-409C-BE32-E72D297353CC}">
              <c16:uniqueId val="{00000000-F3A3-43AB-82A5-C42FFEAA1CE2}"/>
            </c:ext>
          </c:extLst>
        </c:ser>
        <c:dLbls>
          <c:showLegendKey val="0"/>
          <c:showVal val="1"/>
          <c:showCatName val="0"/>
          <c:showSerName val="0"/>
          <c:showPercent val="0"/>
          <c:showBubbleSize val="0"/>
        </c:dLbls>
        <c:gapWidth val="150"/>
        <c:shape val="box"/>
        <c:axId val="247159008"/>
        <c:axId val="247159488"/>
        <c:axId val="0"/>
      </c:bar3DChart>
      <c:catAx>
        <c:axId val="247159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59488"/>
        <c:crosses val="autoZero"/>
        <c:auto val="1"/>
        <c:lblAlgn val="ctr"/>
        <c:lblOffset val="100"/>
        <c:noMultiLvlLbl val="0"/>
      </c:catAx>
      <c:valAx>
        <c:axId val="247159488"/>
        <c:scaling>
          <c:orientation val="minMax"/>
        </c:scaling>
        <c:delete val="1"/>
        <c:axPos val="l"/>
        <c:numFmt formatCode="_ [$₹-4009]\ * #,##0.00_ ;_ [$₹-4009]\ * \-#,##0.00_ ;_ [$₹-4009]\ * &quot;-&quot;??_ ;_ @_ " sourceLinked="1"/>
        <c:majorTickMark val="none"/>
        <c:minorTickMark val="none"/>
        <c:tickLblPos val="nextTo"/>
        <c:crossAx val="24715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project.xlsx]Top Products!top products</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Products'!$E$1</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Products'!$D$2:$D$12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'Top Products'!$E$2:$E$12</c:f>
              <c:numCache>
                <c:formatCode>0</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8A2C-469E-B12D-6ED1312AC75E}"/>
            </c:ext>
          </c:extLst>
        </c:ser>
        <c:dLbls>
          <c:showLegendKey val="0"/>
          <c:showVal val="1"/>
          <c:showCatName val="0"/>
          <c:showSerName val="0"/>
          <c:showPercent val="0"/>
          <c:showBubbleSize val="0"/>
        </c:dLbls>
        <c:gapWidth val="150"/>
        <c:shape val="box"/>
        <c:axId val="247193088"/>
        <c:axId val="247176768"/>
        <c:axId val="0"/>
      </c:bar3DChart>
      <c:catAx>
        <c:axId val="247193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76768"/>
        <c:crosses val="autoZero"/>
        <c:auto val="1"/>
        <c:lblAlgn val="ctr"/>
        <c:lblOffset val="100"/>
        <c:noMultiLvlLbl val="0"/>
      </c:catAx>
      <c:valAx>
        <c:axId val="247176768"/>
        <c:scaling>
          <c:orientation val="minMax"/>
        </c:scaling>
        <c:delete val="1"/>
        <c:axPos val="l"/>
        <c:numFmt formatCode="0" sourceLinked="1"/>
        <c:majorTickMark val="none"/>
        <c:minorTickMark val="none"/>
        <c:tickLblPos val="nextTo"/>
        <c:crossAx val="24719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and charts!region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charts'!$B$16</c:f>
              <c:strCache>
                <c:ptCount val="1"/>
                <c:pt idx="0">
                  <c:v>Total</c:v>
                </c:pt>
              </c:strCache>
            </c:strRef>
          </c:tx>
          <c:spPr>
            <a:solidFill>
              <a:schemeClr val="accent1"/>
            </a:solidFill>
            <a:ln>
              <a:noFill/>
            </a:ln>
            <a:effectLst/>
          </c:spPr>
          <c:invertIfNegative val="0"/>
          <c:cat>
            <c:strRef>
              <c:f>'pivot and charts'!$A$17:$A$22</c:f>
              <c:strCache>
                <c:ptCount val="5"/>
                <c:pt idx="0">
                  <c:v>Central</c:v>
                </c:pt>
                <c:pt idx="1">
                  <c:v>East</c:v>
                </c:pt>
                <c:pt idx="2">
                  <c:v>North</c:v>
                </c:pt>
                <c:pt idx="3">
                  <c:v>South</c:v>
                </c:pt>
                <c:pt idx="4">
                  <c:v>West</c:v>
                </c:pt>
              </c:strCache>
            </c:strRef>
          </c:cat>
          <c:val>
            <c:numRef>
              <c:f>'pivot and charts'!$B$17:$B$22</c:f>
              <c:numCache>
                <c:formatCode>_ [$₹-4009]\ * #,##0.00_ ;_ [$₹-4009]\ * \-#,##0.00_ ;_ [$₹-4009]\ * "-"??_ ;_ @_ </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4360-4D6D-A4C1-82BF09781BDC}"/>
            </c:ext>
          </c:extLst>
        </c:ser>
        <c:dLbls>
          <c:showLegendKey val="0"/>
          <c:showVal val="0"/>
          <c:showCatName val="0"/>
          <c:showSerName val="0"/>
          <c:showPercent val="0"/>
          <c:showBubbleSize val="0"/>
        </c:dLbls>
        <c:gapWidth val="219"/>
        <c:overlap val="-27"/>
        <c:axId val="1613475456"/>
        <c:axId val="110615120"/>
      </c:barChart>
      <c:catAx>
        <c:axId val="161347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15120"/>
        <c:crosses val="autoZero"/>
        <c:auto val="1"/>
        <c:lblAlgn val="ctr"/>
        <c:lblOffset val="100"/>
        <c:noMultiLvlLbl val="0"/>
      </c:catAx>
      <c:valAx>
        <c:axId val="11061512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47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and charts!monthly sales</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and charts'!$J$4:$J$5</c:f>
              <c:strCache>
                <c:ptCount val="1"/>
                <c:pt idx="0">
                  <c:v>2024</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and charts'!$I$6:$I$18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charts'!$J$6:$J$18</c:f>
              <c:numCache>
                <c:formatCode>_ [$₹-4009]\ * #,##0.00_ ;_ [$₹-4009]\ * \-#,##0.00_ ;_ [$₹-4009]\ * "-"??_ ;_ @_ </c:formatCode>
                <c:ptCount val="12"/>
                <c:pt idx="3">
                  <c:v>20919.330000000002</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D758-454B-BDB4-A2EFBEDDF74A}"/>
            </c:ext>
          </c:extLst>
        </c:ser>
        <c:ser>
          <c:idx val="1"/>
          <c:order val="1"/>
          <c:tx>
            <c:strRef>
              <c:f>'pivot and charts'!$K$4:$K$5</c:f>
              <c:strCache>
                <c:ptCount val="1"/>
                <c:pt idx="0">
                  <c:v>2025</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and charts'!$I$6:$I$18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charts'!$K$6:$K$18</c:f>
              <c:numCache>
                <c:formatCode>_ [$₹-4009]\ * #,##0.00_ ;_ [$₹-4009]\ * \-#,##0.00_ ;_ [$₹-4009]\ * "-"??_ ;_ @_ </c:formatCode>
                <c:ptCount val="12"/>
                <c:pt idx="0">
                  <c:v>25799.15</c:v>
                </c:pt>
                <c:pt idx="1">
                  <c:v>16069.379999999997</c:v>
                </c:pt>
                <c:pt idx="2">
                  <c:v>19899.379999999997</c:v>
                </c:pt>
                <c:pt idx="3">
                  <c:v>6979.829999999999</c:v>
                </c:pt>
              </c:numCache>
            </c:numRef>
          </c:val>
          <c:smooth val="0"/>
          <c:extLst>
            <c:ext xmlns:c16="http://schemas.microsoft.com/office/drawing/2014/chart" uri="{C3380CC4-5D6E-409C-BE32-E72D297353CC}">
              <c16:uniqueId val="{00000008-5488-4CC6-B1BF-DA72F89531E5}"/>
            </c:ext>
          </c:extLst>
        </c:ser>
        <c:dLbls>
          <c:dLblPos val="t"/>
          <c:showLegendKey val="0"/>
          <c:showVal val="1"/>
          <c:showCatName val="0"/>
          <c:showSerName val="0"/>
          <c:showPercent val="0"/>
          <c:showBubbleSize val="0"/>
        </c:dLbls>
        <c:smooth val="0"/>
        <c:axId val="1957573296"/>
        <c:axId val="1957573776"/>
      </c:lineChart>
      <c:catAx>
        <c:axId val="195757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573776"/>
        <c:crosses val="autoZero"/>
        <c:auto val="1"/>
        <c:lblAlgn val="ctr"/>
        <c:lblOffset val="100"/>
        <c:noMultiLvlLbl val="0"/>
      </c:catAx>
      <c:valAx>
        <c:axId val="1957573776"/>
        <c:scaling>
          <c:orientation val="minMax"/>
        </c:scaling>
        <c:delete val="1"/>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crossAx val="195757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and charts!PivotTable1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charts'!$F$4</c:f>
              <c:strCache>
                <c:ptCount val="1"/>
                <c:pt idx="0">
                  <c:v>Total</c:v>
                </c:pt>
              </c:strCache>
            </c:strRef>
          </c:tx>
          <c:spPr>
            <a:solidFill>
              <a:schemeClr val="accent1"/>
            </a:solidFill>
            <a:ln>
              <a:noFill/>
            </a:ln>
            <a:effectLst/>
          </c:spPr>
          <c:invertIfNegative val="0"/>
          <c:cat>
            <c:multiLvlStrRef>
              <c:f>'pivot and charts'!$E$5:$E$18</c:f>
              <c:multiLvlStrCache>
                <c:ptCount val="10"/>
                <c:lvl>
                  <c:pt idx="0">
                    <c:v>Blender</c:v>
                  </c:pt>
                  <c:pt idx="1">
                    <c:v>Coffee Maker</c:v>
                  </c:pt>
                  <c:pt idx="2">
                    <c:v>Headphones</c:v>
                  </c:pt>
                  <c:pt idx="3">
                    <c:v>Keyboard</c:v>
                  </c:pt>
                  <c:pt idx="4">
                    <c:v>Laptop</c:v>
                  </c:pt>
                  <c:pt idx="5">
                    <c:v>Monitor</c:v>
                  </c:pt>
                  <c:pt idx="6">
                    <c:v>Smartphone</c:v>
                  </c:pt>
                  <c:pt idx="7">
                    <c:v>Bookshelf</c:v>
                  </c:pt>
                  <c:pt idx="8">
                    <c:v>Desk</c:v>
                  </c:pt>
                  <c:pt idx="9">
                    <c:v>Office Chair</c:v>
                  </c:pt>
                </c:lvl>
                <c:lvl>
                  <c:pt idx="0">
                    <c:v>Appliances</c:v>
                  </c:pt>
                  <c:pt idx="2">
                    <c:v>Electronics</c:v>
                  </c:pt>
                  <c:pt idx="7">
                    <c:v>Furniture</c:v>
                  </c:pt>
                </c:lvl>
              </c:multiLvlStrCache>
            </c:multiLvlStrRef>
          </c:cat>
          <c:val>
            <c:numRef>
              <c:f>'pivot and charts'!$F$5:$F$18</c:f>
              <c:numCache>
                <c:formatCode>0.00%</c:formatCode>
                <c:ptCount val="10"/>
                <c:pt idx="0">
                  <c:v>2.2771821430259021E-2</c:v>
                </c:pt>
                <c:pt idx="1">
                  <c:v>1.361131105223483E-2</c:v>
                </c:pt>
                <c:pt idx="2">
                  <c:v>3.0758122201833243E-2</c:v>
                </c:pt>
                <c:pt idx="3">
                  <c:v>3.4944908966686374E-2</c:v>
                </c:pt>
                <c:pt idx="4">
                  <c:v>0.29450902117333966</c:v>
                </c:pt>
                <c:pt idx="5">
                  <c:v>9.5985352398357593E-2</c:v>
                </c:pt>
                <c:pt idx="6">
                  <c:v>0.29319916138606122</c:v>
                </c:pt>
                <c:pt idx="7">
                  <c:v>6.6751669459297669E-2</c:v>
                </c:pt>
                <c:pt idx="8">
                  <c:v>0.10209419183797794</c:v>
                </c:pt>
                <c:pt idx="9">
                  <c:v>4.5374440093952473E-2</c:v>
                </c:pt>
              </c:numCache>
            </c:numRef>
          </c:val>
          <c:extLst>
            <c:ext xmlns:c16="http://schemas.microsoft.com/office/drawing/2014/chart" uri="{C3380CC4-5D6E-409C-BE32-E72D297353CC}">
              <c16:uniqueId val="{00000000-3000-4047-A7C4-571BCD9130C4}"/>
            </c:ext>
          </c:extLst>
        </c:ser>
        <c:dLbls>
          <c:showLegendKey val="0"/>
          <c:showVal val="0"/>
          <c:showCatName val="0"/>
          <c:showSerName val="0"/>
          <c:showPercent val="0"/>
          <c:showBubbleSize val="0"/>
        </c:dLbls>
        <c:gapWidth val="219"/>
        <c:overlap val="-27"/>
        <c:axId val="1871570639"/>
        <c:axId val="1871563439"/>
      </c:barChart>
      <c:catAx>
        <c:axId val="187157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563439"/>
        <c:crosses val="autoZero"/>
        <c:auto val="1"/>
        <c:lblAlgn val="ctr"/>
        <c:lblOffset val="100"/>
        <c:noMultiLvlLbl val="0"/>
      </c:catAx>
      <c:valAx>
        <c:axId val="1871563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57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image" Target="../media/image2.svg"/><Relationship Id="rId7"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hyperlink" Target="#Sheet10!A1"/><Relationship Id="rId6" Type="http://schemas.openxmlformats.org/officeDocument/2006/relationships/chart" Target="../charts/chart2.xml"/><Relationship Id="rId11" Type="http://schemas.openxmlformats.org/officeDocument/2006/relationships/chart" Target="../charts/chart3.xml"/><Relationship Id="rId5" Type="http://schemas.openxmlformats.org/officeDocument/2006/relationships/chart" Target="../charts/chart1.xml"/><Relationship Id="rId10" Type="http://schemas.openxmlformats.org/officeDocument/2006/relationships/image" Target="../media/image6.svg"/><Relationship Id="rId4" Type="http://schemas.openxmlformats.org/officeDocument/2006/relationships/hyperlink" Target="#Sheet1!A1"/><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Sheet9!A1"/><Relationship Id="rId1" Type="http://schemas.openxmlformats.org/officeDocument/2006/relationships/chart" Target="../charts/chart4.xml"/><Relationship Id="rId4" Type="http://schemas.openxmlformats.org/officeDocument/2006/relationships/image" Target="../media/image8.sv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Sheet9!A1"/><Relationship Id="rId1" Type="http://schemas.openxmlformats.org/officeDocument/2006/relationships/chart" Target="../charts/chart5.xml"/><Relationship Id="rId4"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186209</xdr:colOff>
      <xdr:row>11</xdr:row>
      <xdr:rowOff>180328</xdr:rowOff>
    </xdr:from>
    <xdr:to>
      <xdr:col>13</xdr:col>
      <xdr:colOff>211667</xdr:colOff>
      <xdr:row>18</xdr:row>
      <xdr:rowOff>73025</xdr:rowOff>
    </xdr:to>
    <xdr:sp macro="" textlink="">
      <xdr:nvSpPr>
        <xdr:cNvPr id="32" name="Rectangle 31">
          <a:extLst>
            <a:ext uri="{FF2B5EF4-FFF2-40B4-BE49-F238E27FC236}">
              <a16:creationId xmlns:a16="http://schemas.microsoft.com/office/drawing/2014/main" id="{EA82D221-AA5B-4FAF-BC30-161DE9F29737}"/>
            </a:ext>
          </a:extLst>
        </xdr:cNvPr>
        <xdr:cNvSpPr/>
      </xdr:nvSpPr>
      <xdr:spPr>
        <a:xfrm>
          <a:off x="5570480" y="2217620"/>
          <a:ext cx="3068166" cy="1189155"/>
        </a:xfrm>
        <a:prstGeom prst="rect">
          <a:avLst/>
        </a:prstGeom>
        <a:solidFill>
          <a:schemeClr val="accent6">
            <a:lumMod val="60000"/>
            <a:lumOff val="4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33810</xdr:colOff>
      <xdr:row>11</xdr:row>
      <xdr:rowOff>173449</xdr:rowOff>
    </xdr:from>
    <xdr:to>
      <xdr:col>8</xdr:col>
      <xdr:colOff>2</xdr:colOff>
      <xdr:row>18</xdr:row>
      <xdr:rowOff>66146</xdr:rowOff>
    </xdr:to>
    <xdr:sp macro="" textlink="">
      <xdr:nvSpPr>
        <xdr:cNvPr id="25" name="Rectangle 24">
          <a:extLst>
            <a:ext uri="{FF2B5EF4-FFF2-40B4-BE49-F238E27FC236}">
              <a16:creationId xmlns:a16="http://schemas.microsoft.com/office/drawing/2014/main" id="{6A7A5E51-7E87-4026-971F-96A673D928AB}"/>
            </a:ext>
          </a:extLst>
        </xdr:cNvPr>
        <xdr:cNvSpPr/>
      </xdr:nvSpPr>
      <xdr:spPr>
        <a:xfrm>
          <a:off x="2467977" y="2210741"/>
          <a:ext cx="2916296" cy="1189155"/>
        </a:xfrm>
        <a:prstGeom prst="rect">
          <a:avLst/>
        </a:prstGeom>
        <a:solidFill>
          <a:schemeClr val="accent6">
            <a:lumMod val="60000"/>
            <a:lumOff val="4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125943</xdr:colOff>
      <xdr:row>7</xdr:row>
      <xdr:rowOff>20108</xdr:rowOff>
    </xdr:from>
    <xdr:to>
      <xdr:col>17</xdr:col>
      <xdr:colOff>178860</xdr:colOff>
      <xdr:row>11</xdr:row>
      <xdr:rowOff>46566</xdr:rowOff>
    </xdr:to>
    <xdr:sp macro="" textlink="">
      <xdr:nvSpPr>
        <xdr:cNvPr id="49" name="Rectangle: Single Corner Snipped 48">
          <a:extLst>
            <a:ext uri="{FF2B5EF4-FFF2-40B4-BE49-F238E27FC236}">
              <a16:creationId xmlns:a16="http://schemas.microsoft.com/office/drawing/2014/main" id="{8A36BCCB-9355-4408-A7D4-7F327C4BFB65}"/>
            </a:ext>
          </a:extLst>
        </xdr:cNvPr>
        <xdr:cNvSpPr/>
      </xdr:nvSpPr>
      <xdr:spPr>
        <a:xfrm flipH="1">
          <a:off x="8552922" y="1316566"/>
          <a:ext cx="2487084" cy="767292"/>
        </a:xfrm>
        <a:prstGeom prst="snip1Rect">
          <a:avLst/>
        </a:prstGeom>
        <a:solidFill>
          <a:schemeClr val="accent6">
            <a:lumMod val="5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211667</xdr:colOff>
      <xdr:row>6</xdr:row>
      <xdr:rowOff>171979</xdr:rowOff>
    </xdr:from>
    <xdr:to>
      <xdr:col>4</xdr:col>
      <xdr:colOff>264584</xdr:colOff>
      <xdr:row>11</xdr:row>
      <xdr:rowOff>13229</xdr:rowOff>
    </xdr:to>
    <xdr:sp macro="" textlink="">
      <xdr:nvSpPr>
        <xdr:cNvPr id="48" name="Rectangle: Single Corner Snipped 47">
          <a:extLst>
            <a:ext uri="{FF2B5EF4-FFF2-40B4-BE49-F238E27FC236}">
              <a16:creationId xmlns:a16="http://schemas.microsoft.com/office/drawing/2014/main" id="{83799BFD-FFAE-EE3D-A9B2-CB38DBCBAA65}"/>
            </a:ext>
          </a:extLst>
        </xdr:cNvPr>
        <xdr:cNvSpPr/>
      </xdr:nvSpPr>
      <xdr:spPr>
        <a:xfrm>
          <a:off x="211667" y="1283229"/>
          <a:ext cx="2487084" cy="767292"/>
        </a:xfrm>
        <a:prstGeom prst="snip1Rect">
          <a:avLst/>
        </a:prstGeom>
        <a:solidFill>
          <a:schemeClr val="accent6">
            <a:lumMod val="5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lumMod val="50000"/>
              </a:schemeClr>
            </a:solidFill>
          </a:endParaRPr>
        </a:p>
      </xdr:txBody>
    </xdr:sp>
    <xdr:clientData/>
  </xdr:twoCellAnchor>
  <xdr:twoCellAnchor>
    <xdr:from>
      <xdr:col>0</xdr:col>
      <xdr:colOff>171450</xdr:colOff>
      <xdr:row>0</xdr:row>
      <xdr:rowOff>76200</xdr:rowOff>
    </xdr:from>
    <xdr:to>
      <xdr:col>17</xdr:col>
      <xdr:colOff>246945</xdr:colOff>
      <xdr:row>4</xdr:row>
      <xdr:rowOff>142875</xdr:rowOff>
    </xdr:to>
    <xdr:sp macro="" textlink="">
      <xdr:nvSpPr>
        <xdr:cNvPr id="2" name="Rectangle 1">
          <a:extLst>
            <a:ext uri="{FF2B5EF4-FFF2-40B4-BE49-F238E27FC236}">
              <a16:creationId xmlns:a16="http://schemas.microsoft.com/office/drawing/2014/main" id="{3076F722-A044-645D-6E90-FD8670411D09}"/>
            </a:ext>
          </a:extLst>
        </xdr:cNvPr>
        <xdr:cNvSpPr/>
      </xdr:nvSpPr>
      <xdr:spPr>
        <a:xfrm>
          <a:off x="171450" y="76200"/>
          <a:ext cx="11002031" cy="828675"/>
        </a:xfrm>
        <a:prstGeom prst="rect">
          <a:avLst/>
        </a:prstGeom>
        <a:solidFill>
          <a:schemeClr val="accent6">
            <a:lumMod val="60000"/>
            <a:lumOff val="4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148520</xdr:colOff>
      <xdr:row>11</xdr:row>
      <xdr:rowOff>127472</xdr:rowOff>
    </xdr:from>
    <xdr:to>
      <xdr:col>3</xdr:col>
      <xdr:colOff>405694</xdr:colOff>
      <xdr:row>18</xdr:row>
      <xdr:rowOff>32222</xdr:rowOff>
    </xdr:to>
    <xdr:sp macro="" textlink="">
      <xdr:nvSpPr>
        <xdr:cNvPr id="3" name="Rectangle: Rounded Corners 2">
          <a:extLst>
            <a:ext uri="{FF2B5EF4-FFF2-40B4-BE49-F238E27FC236}">
              <a16:creationId xmlns:a16="http://schemas.microsoft.com/office/drawing/2014/main" id="{26C8E764-CB38-D2C5-3CBB-BA1485DE3761}"/>
            </a:ext>
          </a:extLst>
        </xdr:cNvPr>
        <xdr:cNvSpPr/>
      </xdr:nvSpPr>
      <xdr:spPr>
        <a:xfrm>
          <a:off x="148520" y="2164764"/>
          <a:ext cx="2082799" cy="1201208"/>
        </a:xfrm>
        <a:prstGeom prst="roundRect">
          <a:avLst/>
        </a:prstGeom>
        <a:solidFill>
          <a:schemeClr val="accent6">
            <a:lumMod val="60000"/>
            <a:lumOff val="4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76669</xdr:colOff>
      <xdr:row>5</xdr:row>
      <xdr:rowOff>29751</xdr:rowOff>
    </xdr:from>
    <xdr:to>
      <xdr:col>7</xdr:col>
      <xdr:colOff>734951</xdr:colOff>
      <xdr:row>11</xdr:row>
      <xdr:rowOff>122649</xdr:rowOff>
    </xdr:to>
    <xdr:sp macro="" textlink="">
      <xdr:nvSpPr>
        <xdr:cNvPr id="7" name="Rectangle: Rounded Corners 6">
          <a:extLst>
            <a:ext uri="{FF2B5EF4-FFF2-40B4-BE49-F238E27FC236}">
              <a16:creationId xmlns:a16="http://schemas.microsoft.com/office/drawing/2014/main" id="{72CD633C-1E9D-492F-924A-735CB5E86653}"/>
            </a:ext>
          </a:extLst>
        </xdr:cNvPr>
        <xdr:cNvSpPr/>
      </xdr:nvSpPr>
      <xdr:spPr>
        <a:xfrm>
          <a:off x="3119377" y="955793"/>
          <a:ext cx="2100262" cy="1204148"/>
        </a:xfrm>
        <a:prstGeom prst="roundRect">
          <a:avLst/>
        </a:prstGeom>
        <a:solidFill>
          <a:schemeClr val="accent6">
            <a:lumMod val="60000"/>
            <a:lumOff val="4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495829</xdr:colOff>
      <xdr:row>5</xdr:row>
      <xdr:rowOff>8466</xdr:rowOff>
    </xdr:from>
    <xdr:to>
      <xdr:col>12</xdr:col>
      <xdr:colOff>141521</xdr:colOff>
      <xdr:row>11</xdr:row>
      <xdr:rowOff>101364</xdr:rowOff>
    </xdr:to>
    <xdr:sp macro="" textlink="">
      <xdr:nvSpPr>
        <xdr:cNvPr id="8" name="Rectangle: Rounded Corners 7">
          <a:extLst>
            <a:ext uri="{FF2B5EF4-FFF2-40B4-BE49-F238E27FC236}">
              <a16:creationId xmlns:a16="http://schemas.microsoft.com/office/drawing/2014/main" id="{9511CB97-30B1-49E6-BE70-788D1FA7B923}"/>
            </a:ext>
          </a:extLst>
        </xdr:cNvPr>
        <xdr:cNvSpPr/>
      </xdr:nvSpPr>
      <xdr:spPr>
        <a:xfrm>
          <a:off x="5880100" y="934508"/>
          <a:ext cx="2079859" cy="1204148"/>
        </a:xfrm>
        <a:prstGeom prst="roundRect">
          <a:avLst/>
        </a:prstGeom>
        <a:solidFill>
          <a:schemeClr val="accent6">
            <a:lumMod val="60000"/>
            <a:lumOff val="4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466491</xdr:colOff>
      <xdr:row>11</xdr:row>
      <xdr:rowOff>114300</xdr:rowOff>
    </xdr:from>
    <xdr:to>
      <xdr:col>17</xdr:col>
      <xdr:colOff>112183</xdr:colOff>
      <xdr:row>18</xdr:row>
      <xdr:rowOff>19050</xdr:rowOff>
    </xdr:to>
    <xdr:sp macro="" textlink="">
      <xdr:nvSpPr>
        <xdr:cNvPr id="9" name="Rectangle: Rounded Corners 8">
          <a:extLst>
            <a:ext uri="{FF2B5EF4-FFF2-40B4-BE49-F238E27FC236}">
              <a16:creationId xmlns:a16="http://schemas.microsoft.com/office/drawing/2014/main" id="{9EA2E12E-B8B8-47BC-B4AB-E5A4067B08DD}"/>
            </a:ext>
          </a:extLst>
        </xdr:cNvPr>
        <xdr:cNvSpPr/>
      </xdr:nvSpPr>
      <xdr:spPr>
        <a:xfrm>
          <a:off x="8921398" y="2183930"/>
          <a:ext cx="2091618" cy="1221787"/>
        </a:xfrm>
        <a:prstGeom prst="roundRect">
          <a:avLst/>
        </a:prstGeom>
        <a:solidFill>
          <a:schemeClr val="accent6">
            <a:lumMod val="60000"/>
            <a:lumOff val="4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235186</xdr:colOff>
      <xdr:row>18</xdr:row>
      <xdr:rowOff>188146</xdr:rowOff>
    </xdr:from>
    <xdr:to>
      <xdr:col>17</xdr:col>
      <xdr:colOff>94075</xdr:colOff>
      <xdr:row>22</xdr:row>
      <xdr:rowOff>70555</xdr:rowOff>
    </xdr:to>
    <mc:AlternateContent xmlns:mc="http://schemas.openxmlformats.org/markup-compatibility/2006" xmlns:a14="http://schemas.microsoft.com/office/drawing/2010/main">
      <mc:Choice Requires="a14">
        <xdr:graphicFrame macro="">
          <xdr:nvGraphicFramePr>
            <xdr:cNvPr id="13" name="Product_Name">
              <a:extLst>
                <a:ext uri="{FF2B5EF4-FFF2-40B4-BE49-F238E27FC236}">
                  <a16:creationId xmlns:a16="http://schemas.microsoft.com/office/drawing/2014/main" id="{97D3F7FC-41BF-4B3E-B257-523A33F2EDF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35186" y="3617146"/>
              <a:ext cx="10785425" cy="644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276402</xdr:colOff>
      <xdr:row>12</xdr:row>
      <xdr:rowOff>52917</xdr:rowOff>
    </xdr:from>
    <xdr:to>
      <xdr:col>13</xdr:col>
      <xdr:colOff>127883</xdr:colOff>
      <xdr:row>18</xdr:row>
      <xdr:rowOff>52917</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7FC1C829-EA8D-4097-B713-2BB883BDBB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92045" y="2338917"/>
              <a:ext cx="2913088"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188816</xdr:colOff>
      <xdr:row>2</xdr:row>
      <xdr:rowOff>111711</xdr:rowOff>
    </xdr:from>
    <xdr:to>
      <xdr:col>1</xdr:col>
      <xdr:colOff>491735</xdr:colOff>
      <xdr:row>7</xdr:row>
      <xdr:rowOff>85370</xdr:rowOff>
    </xdr:to>
    <xdr:pic>
      <xdr:nvPicPr>
        <xdr:cNvPr id="27" name="Graphic 26" descr="Arrow: Clockwise curve with solid fill">
          <a:hlinkClick xmlns:r="http://schemas.openxmlformats.org/officeDocument/2006/relationships" r:id="rId1"/>
          <a:extLst>
            <a:ext uri="{FF2B5EF4-FFF2-40B4-BE49-F238E27FC236}">
              <a16:creationId xmlns:a16="http://schemas.microsoft.com/office/drawing/2014/main" id="{BA17C41B-4E55-2CAE-0C2F-462088FBFDF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8243232" flipH="1">
          <a:off x="188816" y="482128"/>
          <a:ext cx="911461" cy="899700"/>
        </a:xfrm>
        <a:prstGeom prst="rect">
          <a:avLst/>
        </a:prstGeom>
      </xdr:spPr>
    </xdr:pic>
    <xdr:clientData/>
  </xdr:twoCellAnchor>
  <xdr:oneCellAnchor>
    <xdr:from>
      <xdr:col>0</xdr:col>
      <xdr:colOff>302801</xdr:colOff>
      <xdr:row>7</xdr:row>
      <xdr:rowOff>95542</xdr:rowOff>
    </xdr:from>
    <xdr:ext cx="2281296" cy="530658"/>
    <xdr:sp macro="" textlink="">
      <xdr:nvSpPr>
        <xdr:cNvPr id="28" name="TextBox 27">
          <a:hlinkClick xmlns:r="http://schemas.openxmlformats.org/officeDocument/2006/relationships" r:id="rId1"/>
          <a:extLst>
            <a:ext uri="{FF2B5EF4-FFF2-40B4-BE49-F238E27FC236}">
              <a16:creationId xmlns:a16="http://schemas.microsoft.com/office/drawing/2014/main" id="{4F752770-32D3-1910-A133-504B118BB19B}"/>
            </a:ext>
          </a:extLst>
        </xdr:cNvPr>
        <xdr:cNvSpPr txBox="1"/>
      </xdr:nvSpPr>
      <xdr:spPr>
        <a:xfrm>
          <a:off x="302801" y="1392000"/>
          <a:ext cx="228129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800">
              <a:solidFill>
                <a:srgbClr val="FFFFFF"/>
              </a:solidFill>
            </a:rPr>
            <a:t>Top Customer</a:t>
          </a:r>
        </a:p>
      </xdr:txBody>
    </xdr:sp>
    <xdr:clientData/>
  </xdr:oneCellAnchor>
  <xdr:twoCellAnchor editAs="oneCell">
    <xdr:from>
      <xdr:col>15</xdr:col>
      <xdr:colOff>141308</xdr:colOff>
      <xdr:row>2</xdr:row>
      <xdr:rowOff>152399</xdr:rowOff>
    </xdr:from>
    <xdr:to>
      <xdr:col>16</xdr:col>
      <xdr:colOff>444226</xdr:colOff>
      <xdr:row>7</xdr:row>
      <xdr:rowOff>126058</xdr:rowOff>
    </xdr:to>
    <xdr:pic>
      <xdr:nvPicPr>
        <xdr:cNvPr id="29" name="Graphic 28" descr="Arrow: Clockwise curve with solid fill">
          <a:hlinkClick xmlns:r="http://schemas.openxmlformats.org/officeDocument/2006/relationships" r:id="rId4"/>
          <a:extLst>
            <a:ext uri="{FF2B5EF4-FFF2-40B4-BE49-F238E27FC236}">
              <a16:creationId xmlns:a16="http://schemas.microsoft.com/office/drawing/2014/main" id="{3A24D46A-17ED-48D6-A30D-101BE530EBA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3356768">
          <a:off x="9819178" y="528695"/>
          <a:ext cx="914400" cy="914400"/>
        </a:xfrm>
        <a:prstGeom prst="rect">
          <a:avLst/>
        </a:prstGeom>
      </xdr:spPr>
    </xdr:pic>
    <xdr:clientData/>
  </xdr:twoCellAnchor>
  <xdr:oneCellAnchor>
    <xdr:from>
      <xdr:col>13</xdr:col>
      <xdr:colOff>355248</xdr:colOff>
      <xdr:row>7</xdr:row>
      <xdr:rowOff>137699</xdr:rowOff>
    </xdr:from>
    <xdr:ext cx="2046580" cy="530658"/>
    <xdr:sp macro="" textlink="">
      <xdr:nvSpPr>
        <xdr:cNvPr id="30" name="TextBox 29">
          <a:hlinkClick xmlns:r="http://schemas.openxmlformats.org/officeDocument/2006/relationships" r:id="rId4"/>
          <a:extLst>
            <a:ext uri="{FF2B5EF4-FFF2-40B4-BE49-F238E27FC236}">
              <a16:creationId xmlns:a16="http://schemas.microsoft.com/office/drawing/2014/main" id="{42404394-7539-4678-A060-7DD52A7D5A06}"/>
            </a:ext>
          </a:extLst>
        </xdr:cNvPr>
        <xdr:cNvSpPr txBox="1"/>
      </xdr:nvSpPr>
      <xdr:spPr>
        <a:xfrm>
          <a:off x="8782227" y="1434157"/>
          <a:ext cx="204658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800">
              <a:solidFill>
                <a:srgbClr val="FFFFFF"/>
              </a:solidFill>
            </a:rPr>
            <a:t>Top product</a:t>
          </a:r>
        </a:p>
      </xdr:txBody>
    </xdr:sp>
    <xdr:clientData/>
  </xdr:oneCellAnchor>
  <xdr:twoCellAnchor>
    <xdr:from>
      <xdr:col>0</xdr:col>
      <xdr:colOff>199908</xdr:colOff>
      <xdr:row>22</xdr:row>
      <xdr:rowOff>164630</xdr:rowOff>
    </xdr:from>
    <xdr:to>
      <xdr:col>17</xdr:col>
      <xdr:colOff>164630</xdr:colOff>
      <xdr:row>25</xdr:row>
      <xdr:rowOff>176389</xdr:rowOff>
    </xdr:to>
    <xdr:sp macro="" textlink="">
      <xdr:nvSpPr>
        <xdr:cNvPr id="4" name="Rectangle 3">
          <a:extLst>
            <a:ext uri="{FF2B5EF4-FFF2-40B4-BE49-F238E27FC236}">
              <a16:creationId xmlns:a16="http://schemas.microsoft.com/office/drawing/2014/main" id="{82ECF86C-6B14-2EFE-9526-11058677752A}"/>
            </a:ext>
          </a:extLst>
        </xdr:cNvPr>
        <xdr:cNvSpPr/>
      </xdr:nvSpPr>
      <xdr:spPr>
        <a:xfrm>
          <a:off x="199908" y="4303889"/>
          <a:ext cx="10865555" cy="576204"/>
        </a:xfrm>
        <a:prstGeom prst="rect">
          <a:avLst/>
        </a:prstGeom>
        <a:solidFill>
          <a:schemeClr val="accent6">
            <a:lumMod val="60000"/>
            <a:lumOff val="4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258704</xdr:colOff>
      <xdr:row>26</xdr:row>
      <xdr:rowOff>176389</xdr:rowOff>
    </xdr:from>
    <xdr:to>
      <xdr:col>6</xdr:col>
      <xdr:colOff>47037</xdr:colOff>
      <xdr:row>43</xdr:row>
      <xdr:rowOff>164630</xdr:rowOff>
    </xdr:to>
    <xdr:sp macro="" textlink="">
      <xdr:nvSpPr>
        <xdr:cNvPr id="5" name="Rectangle 4">
          <a:extLst>
            <a:ext uri="{FF2B5EF4-FFF2-40B4-BE49-F238E27FC236}">
              <a16:creationId xmlns:a16="http://schemas.microsoft.com/office/drawing/2014/main" id="{D0C8634A-448D-57FF-8B3D-823E2804A5E6}"/>
            </a:ext>
          </a:extLst>
        </xdr:cNvPr>
        <xdr:cNvSpPr/>
      </xdr:nvSpPr>
      <xdr:spPr>
        <a:xfrm>
          <a:off x="258704" y="5068241"/>
          <a:ext cx="3457222" cy="3186759"/>
        </a:xfrm>
        <a:prstGeom prst="rect">
          <a:avLst/>
        </a:prstGeom>
        <a:solidFill>
          <a:schemeClr val="accent6">
            <a:lumMod val="60000"/>
            <a:lumOff val="4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269993</xdr:colOff>
      <xdr:row>26</xdr:row>
      <xdr:rowOff>175918</xdr:rowOff>
    </xdr:from>
    <xdr:to>
      <xdr:col>11</xdr:col>
      <xdr:colOff>164160</xdr:colOff>
      <xdr:row>43</xdr:row>
      <xdr:rowOff>164159</xdr:rowOff>
    </xdr:to>
    <xdr:sp macro="" textlink="">
      <xdr:nvSpPr>
        <xdr:cNvPr id="6" name="Rectangle 5">
          <a:extLst>
            <a:ext uri="{FF2B5EF4-FFF2-40B4-BE49-F238E27FC236}">
              <a16:creationId xmlns:a16="http://schemas.microsoft.com/office/drawing/2014/main" id="{8C998339-2766-4B79-B6F6-65B0C36156F0}"/>
            </a:ext>
          </a:extLst>
        </xdr:cNvPr>
        <xdr:cNvSpPr/>
      </xdr:nvSpPr>
      <xdr:spPr>
        <a:xfrm>
          <a:off x="3938882" y="5067770"/>
          <a:ext cx="3457222" cy="3186759"/>
        </a:xfrm>
        <a:prstGeom prst="rect">
          <a:avLst/>
        </a:prstGeom>
        <a:solidFill>
          <a:schemeClr val="accent6">
            <a:lumMod val="60000"/>
            <a:lumOff val="4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388056</xdr:colOff>
      <xdr:row>27</xdr:row>
      <xdr:rowOff>0</xdr:rowOff>
    </xdr:from>
    <xdr:to>
      <xdr:col>17</xdr:col>
      <xdr:colOff>176389</xdr:colOff>
      <xdr:row>43</xdr:row>
      <xdr:rowOff>176389</xdr:rowOff>
    </xdr:to>
    <xdr:sp macro="" textlink="">
      <xdr:nvSpPr>
        <xdr:cNvPr id="10" name="Rectangle 9">
          <a:extLst>
            <a:ext uri="{FF2B5EF4-FFF2-40B4-BE49-F238E27FC236}">
              <a16:creationId xmlns:a16="http://schemas.microsoft.com/office/drawing/2014/main" id="{7F0F17A8-42C6-4F45-BAFF-697D22279DE8}"/>
            </a:ext>
          </a:extLst>
        </xdr:cNvPr>
        <xdr:cNvSpPr/>
      </xdr:nvSpPr>
      <xdr:spPr>
        <a:xfrm>
          <a:off x="7620000" y="5080000"/>
          <a:ext cx="3457222" cy="3186759"/>
        </a:xfrm>
        <a:prstGeom prst="rect">
          <a:avLst/>
        </a:prstGeom>
        <a:solidFill>
          <a:schemeClr val="accent6">
            <a:lumMod val="60000"/>
            <a:lumOff val="40000"/>
            <a:alpha val="5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258704</xdr:colOff>
      <xdr:row>23</xdr:row>
      <xdr:rowOff>23518</xdr:rowOff>
    </xdr:from>
    <xdr:to>
      <xdr:col>17</xdr:col>
      <xdr:colOff>47036</xdr:colOff>
      <xdr:row>25</xdr:row>
      <xdr:rowOff>152870</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BCFC1F34-51B1-4339-A34D-BCEE337E66B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8704" y="4283310"/>
              <a:ext cx="10649478" cy="499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317500</xdr:colOff>
      <xdr:row>15</xdr:row>
      <xdr:rowOff>41159</xdr:rowOff>
    </xdr:from>
    <xdr:ext cx="1743234" cy="530658"/>
    <xdr:sp macro="" textlink="">
      <xdr:nvSpPr>
        <xdr:cNvPr id="19" name="TextBox 18">
          <a:extLst>
            <a:ext uri="{FF2B5EF4-FFF2-40B4-BE49-F238E27FC236}">
              <a16:creationId xmlns:a16="http://schemas.microsoft.com/office/drawing/2014/main" id="{4DAEF7F9-4169-CAD6-BD4B-98223BB55C98}"/>
            </a:ext>
          </a:extLst>
        </xdr:cNvPr>
        <xdr:cNvSpPr txBox="1"/>
      </xdr:nvSpPr>
      <xdr:spPr>
        <a:xfrm>
          <a:off x="317500" y="2819284"/>
          <a:ext cx="174323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800">
              <a:solidFill>
                <a:srgbClr val="1F2937"/>
              </a:solidFill>
            </a:rPr>
            <a:t>Total Sales</a:t>
          </a:r>
        </a:p>
      </xdr:txBody>
    </xdr:sp>
    <xdr:clientData/>
  </xdr:oneCellAnchor>
  <xdr:oneCellAnchor>
    <xdr:from>
      <xdr:col>5</xdr:col>
      <xdr:colOff>275871</xdr:colOff>
      <xdr:row>8</xdr:row>
      <xdr:rowOff>117123</xdr:rowOff>
    </xdr:from>
    <xdr:ext cx="1707583" cy="530658"/>
    <xdr:sp macro="" textlink="">
      <xdr:nvSpPr>
        <xdr:cNvPr id="20" name="TextBox 19">
          <a:extLst>
            <a:ext uri="{FF2B5EF4-FFF2-40B4-BE49-F238E27FC236}">
              <a16:creationId xmlns:a16="http://schemas.microsoft.com/office/drawing/2014/main" id="{56DD32B8-7F43-4EAD-971E-E4D86D0636FA}"/>
            </a:ext>
          </a:extLst>
        </xdr:cNvPr>
        <xdr:cNvSpPr txBox="1"/>
      </xdr:nvSpPr>
      <xdr:spPr>
        <a:xfrm>
          <a:off x="3318579" y="1598790"/>
          <a:ext cx="170758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800">
              <a:solidFill>
                <a:srgbClr val="1F2937"/>
              </a:solidFill>
            </a:rPr>
            <a:t>2024</a:t>
          </a:r>
          <a:r>
            <a:rPr lang="en-IN" sz="2800" baseline="0">
              <a:solidFill>
                <a:srgbClr val="1F2937"/>
              </a:solidFill>
            </a:rPr>
            <a:t> sales</a:t>
          </a:r>
          <a:endParaRPr lang="en-IN" sz="2800">
            <a:solidFill>
              <a:srgbClr val="1F2937"/>
            </a:solidFill>
          </a:endParaRPr>
        </a:p>
      </xdr:txBody>
    </xdr:sp>
    <xdr:clientData/>
  </xdr:oneCellAnchor>
  <xdr:oneCellAnchor>
    <xdr:from>
      <xdr:col>9</xdr:col>
      <xdr:colOff>47565</xdr:colOff>
      <xdr:row>8</xdr:row>
      <xdr:rowOff>93134</xdr:rowOff>
    </xdr:from>
    <xdr:ext cx="1732141" cy="530658"/>
    <xdr:sp macro="" textlink="">
      <xdr:nvSpPr>
        <xdr:cNvPr id="21" name="TextBox 20">
          <a:extLst>
            <a:ext uri="{FF2B5EF4-FFF2-40B4-BE49-F238E27FC236}">
              <a16:creationId xmlns:a16="http://schemas.microsoft.com/office/drawing/2014/main" id="{A5B67948-6B18-425F-AB51-AD85CFB06419}"/>
            </a:ext>
          </a:extLst>
        </xdr:cNvPr>
        <xdr:cNvSpPr txBox="1"/>
      </xdr:nvSpPr>
      <xdr:spPr>
        <a:xfrm>
          <a:off x="6040378" y="1574801"/>
          <a:ext cx="173214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800">
              <a:solidFill>
                <a:srgbClr val="1F2937"/>
              </a:solidFill>
            </a:rPr>
            <a:t>2025</a:t>
          </a:r>
          <a:r>
            <a:rPr lang="en-IN" sz="2800" baseline="0">
              <a:solidFill>
                <a:srgbClr val="1F2937"/>
              </a:solidFill>
            </a:rPr>
            <a:t> Sales</a:t>
          </a:r>
          <a:endParaRPr lang="en-IN" sz="2800">
            <a:solidFill>
              <a:srgbClr val="1F2937"/>
            </a:solidFill>
          </a:endParaRPr>
        </a:p>
      </xdr:txBody>
    </xdr:sp>
    <xdr:clientData/>
  </xdr:oneCellAnchor>
  <xdr:oneCellAnchor>
    <xdr:from>
      <xdr:col>13</xdr:col>
      <xdr:colOff>433683</xdr:colOff>
      <xdr:row>14</xdr:row>
      <xdr:rowOff>186738</xdr:rowOff>
    </xdr:from>
    <xdr:ext cx="2186561" cy="530658"/>
    <xdr:sp macro="" textlink="">
      <xdr:nvSpPr>
        <xdr:cNvPr id="22" name="TextBox 21">
          <a:extLst>
            <a:ext uri="{FF2B5EF4-FFF2-40B4-BE49-F238E27FC236}">
              <a16:creationId xmlns:a16="http://schemas.microsoft.com/office/drawing/2014/main" id="{32D38AD8-F4F5-498E-A81A-EE52CE32519B}"/>
            </a:ext>
          </a:extLst>
        </xdr:cNvPr>
        <xdr:cNvSpPr txBox="1"/>
      </xdr:nvSpPr>
      <xdr:spPr>
        <a:xfrm>
          <a:off x="8888590" y="2820812"/>
          <a:ext cx="218656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800">
              <a:solidFill>
                <a:srgbClr val="1F2937"/>
              </a:solidFill>
            </a:rPr>
            <a:t> 2024</a:t>
          </a:r>
          <a:r>
            <a:rPr lang="en-IN" sz="2800" baseline="0">
              <a:solidFill>
                <a:srgbClr val="1F2937"/>
              </a:solidFill>
            </a:rPr>
            <a:t> vs 2025</a:t>
          </a:r>
          <a:endParaRPr lang="en-IN" sz="2800">
            <a:solidFill>
              <a:srgbClr val="1F2937"/>
            </a:solidFill>
          </a:endParaRPr>
        </a:p>
      </xdr:txBody>
    </xdr:sp>
    <xdr:clientData/>
  </xdr:oneCellAnchor>
  <xdr:oneCellAnchor>
    <xdr:from>
      <xdr:col>0</xdr:col>
      <xdr:colOff>81846</xdr:colOff>
      <xdr:row>12</xdr:row>
      <xdr:rowOff>92137</xdr:rowOff>
    </xdr:from>
    <xdr:ext cx="1952509" cy="405432"/>
    <xdr:sp macro="" textlink="$S$1">
      <xdr:nvSpPr>
        <xdr:cNvPr id="23" name="TextBox 22">
          <a:extLst>
            <a:ext uri="{FF2B5EF4-FFF2-40B4-BE49-F238E27FC236}">
              <a16:creationId xmlns:a16="http://schemas.microsoft.com/office/drawing/2014/main" id="{911108F8-8360-4FAA-AB1D-79780C457E44}"/>
            </a:ext>
          </a:extLst>
        </xdr:cNvPr>
        <xdr:cNvSpPr txBox="1"/>
      </xdr:nvSpPr>
      <xdr:spPr>
        <a:xfrm>
          <a:off x="81846" y="2314637"/>
          <a:ext cx="195250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1970CDC-911E-4CEB-B51B-8C57BEA2BFCD}" type="TxLink">
            <a:rPr lang="en-US" sz="2000" b="0" i="0" u="none" strike="noStrike">
              <a:solidFill>
                <a:srgbClr val="0B3D2E"/>
              </a:solidFill>
              <a:latin typeface="Calibri"/>
              <a:ea typeface="Calibri"/>
              <a:cs typeface="Calibri"/>
            </a:rPr>
            <a:pPr algn="ctr"/>
            <a:t> ₹ 2,29,192.47 </a:t>
          </a:fld>
          <a:endParaRPr lang="en-IN" sz="4800">
            <a:solidFill>
              <a:srgbClr val="0B3D2E"/>
            </a:solidFill>
          </a:endParaRPr>
        </a:p>
      </xdr:txBody>
    </xdr:sp>
    <xdr:clientData/>
  </xdr:oneCellAnchor>
  <xdr:oneCellAnchor>
    <xdr:from>
      <xdr:col>4</xdr:col>
      <xdr:colOff>457668</xdr:colOff>
      <xdr:row>5</xdr:row>
      <xdr:rowOff>85787</xdr:rowOff>
    </xdr:from>
    <xdr:ext cx="2470386" cy="468013"/>
    <xdr:sp macro="" textlink="$S$2">
      <xdr:nvSpPr>
        <xdr:cNvPr id="24" name="TextBox 23">
          <a:extLst>
            <a:ext uri="{FF2B5EF4-FFF2-40B4-BE49-F238E27FC236}">
              <a16:creationId xmlns:a16="http://schemas.microsoft.com/office/drawing/2014/main" id="{DD121B41-835E-465D-BCEC-3E9039E6F7D9}"/>
            </a:ext>
          </a:extLst>
        </xdr:cNvPr>
        <xdr:cNvSpPr txBox="1"/>
      </xdr:nvSpPr>
      <xdr:spPr>
        <a:xfrm>
          <a:off x="2891835" y="1011829"/>
          <a:ext cx="247038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5B495529-66AB-47E7-B690-332D12ABD618}" type="TxLink">
            <a:rPr lang="en-US" sz="2400" b="0" i="0" u="none" strike="noStrike">
              <a:solidFill>
                <a:srgbClr val="0B3D2E"/>
              </a:solidFill>
              <a:latin typeface="Calibri"/>
              <a:ea typeface="Calibri"/>
              <a:cs typeface="Calibri"/>
            </a:rPr>
            <a:pPr algn="ctr"/>
            <a:t> ₹ 1,60,444.73 </a:t>
          </a:fld>
          <a:endParaRPr lang="en-IN" sz="8800">
            <a:solidFill>
              <a:srgbClr val="0B3D2E"/>
            </a:solidFill>
          </a:endParaRPr>
        </a:p>
      </xdr:txBody>
    </xdr:sp>
    <xdr:clientData/>
  </xdr:oneCellAnchor>
  <xdr:oneCellAnchor>
    <xdr:from>
      <xdr:col>8</xdr:col>
      <xdr:colOff>217605</xdr:colOff>
      <xdr:row>5</xdr:row>
      <xdr:rowOff>63268</xdr:rowOff>
    </xdr:from>
    <xdr:ext cx="2494375" cy="530658"/>
    <xdr:sp macro="" textlink="$S$3">
      <xdr:nvSpPr>
        <xdr:cNvPr id="26" name="TextBox 25">
          <a:extLst>
            <a:ext uri="{FF2B5EF4-FFF2-40B4-BE49-F238E27FC236}">
              <a16:creationId xmlns:a16="http://schemas.microsoft.com/office/drawing/2014/main" id="{A0D848D6-B4CF-4CAA-BC78-E54E569B8CDD}"/>
            </a:ext>
          </a:extLst>
        </xdr:cNvPr>
        <xdr:cNvSpPr txBox="1"/>
      </xdr:nvSpPr>
      <xdr:spPr>
        <a:xfrm>
          <a:off x="5601876" y="989310"/>
          <a:ext cx="249437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CBA0A13A-4B44-49D8-9D0F-C3FB5232251F}" type="TxLink">
            <a:rPr lang="en-US" sz="2800" b="0" i="0" u="none" strike="noStrike">
              <a:solidFill>
                <a:srgbClr val="0B3D2E"/>
              </a:solidFill>
              <a:latin typeface="Calibri"/>
              <a:ea typeface="Calibri"/>
              <a:cs typeface="Calibri"/>
            </a:rPr>
            <a:pPr algn="ctr"/>
            <a:t> ₹ 68,747.74 </a:t>
          </a:fld>
          <a:endParaRPr lang="en-IN" sz="34400">
            <a:solidFill>
              <a:srgbClr val="0B3D2E"/>
            </a:solidFill>
          </a:endParaRPr>
        </a:p>
      </xdr:txBody>
    </xdr:sp>
    <xdr:clientData/>
  </xdr:oneCellAnchor>
  <xdr:oneCellAnchor>
    <xdr:from>
      <xdr:col>13</xdr:col>
      <xdr:colOff>503768</xdr:colOff>
      <xdr:row>12</xdr:row>
      <xdr:rowOff>80433</xdr:rowOff>
    </xdr:from>
    <xdr:ext cx="1952509" cy="593304"/>
    <xdr:sp macro="" textlink="$S$4">
      <xdr:nvSpPr>
        <xdr:cNvPr id="31" name="TextBox 30">
          <a:extLst>
            <a:ext uri="{FF2B5EF4-FFF2-40B4-BE49-F238E27FC236}">
              <a16:creationId xmlns:a16="http://schemas.microsoft.com/office/drawing/2014/main" id="{C770C6CF-BAE5-44CA-B581-DBA086634740}"/>
            </a:ext>
          </a:extLst>
        </xdr:cNvPr>
        <xdr:cNvSpPr txBox="1"/>
      </xdr:nvSpPr>
      <xdr:spPr>
        <a:xfrm>
          <a:off x="8958675" y="2338211"/>
          <a:ext cx="195250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4EC6EA8-4CF7-48D8-B2A5-A3B98F302681}" type="TxLink">
            <a:rPr lang="en-US" sz="3200" b="0" i="0" u="none" strike="noStrike">
              <a:solidFill>
                <a:srgbClr val="FF0000"/>
              </a:solidFill>
              <a:latin typeface="Calibri"/>
              <a:ea typeface="Calibri"/>
              <a:cs typeface="Calibri"/>
            </a:rPr>
            <a:pPr algn="ctr"/>
            <a:t>▼ 57.15%</a:t>
          </a:fld>
          <a:endParaRPr lang="en-IN" sz="177700">
            <a:solidFill>
              <a:srgbClr val="FF0000"/>
            </a:solidFill>
          </a:endParaRPr>
        </a:p>
      </xdr:txBody>
    </xdr:sp>
    <xdr:clientData/>
  </xdr:oneCellAnchor>
  <xdr:twoCellAnchor>
    <xdr:from>
      <xdr:col>0</xdr:col>
      <xdr:colOff>258704</xdr:colOff>
      <xdr:row>26</xdr:row>
      <xdr:rowOff>176389</xdr:rowOff>
    </xdr:from>
    <xdr:to>
      <xdr:col>6</xdr:col>
      <xdr:colOff>70555</xdr:colOff>
      <xdr:row>43</xdr:row>
      <xdr:rowOff>152871</xdr:rowOff>
    </xdr:to>
    <xdr:graphicFrame macro="">
      <xdr:nvGraphicFramePr>
        <xdr:cNvPr id="33" name="Chart 32">
          <a:extLst>
            <a:ext uri="{FF2B5EF4-FFF2-40B4-BE49-F238E27FC236}">
              <a16:creationId xmlns:a16="http://schemas.microsoft.com/office/drawing/2014/main" id="{6E3A692C-4ED3-47F6-81AA-89EE4A36E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388056</xdr:colOff>
      <xdr:row>27</xdr:row>
      <xdr:rowOff>0</xdr:rowOff>
    </xdr:from>
    <xdr:to>
      <xdr:col>17</xdr:col>
      <xdr:colOff>188148</xdr:colOff>
      <xdr:row>43</xdr:row>
      <xdr:rowOff>164630</xdr:rowOff>
    </xdr:to>
    <xdr:graphicFrame macro="">
      <xdr:nvGraphicFramePr>
        <xdr:cNvPr id="35" name="Chart 34">
          <a:extLst>
            <a:ext uri="{FF2B5EF4-FFF2-40B4-BE49-F238E27FC236}">
              <a16:creationId xmlns:a16="http://schemas.microsoft.com/office/drawing/2014/main" id="{66209984-33E8-4A89-86E3-EA9E06396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4</xdr:col>
      <xdr:colOff>437344</xdr:colOff>
      <xdr:row>0</xdr:row>
      <xdr:rowOff>104892</xdr:rowOff>
    </xdr:from>
    <xdr:ext cx="6303902" cy="718466"/>
    <xdr:sp macro="" textlink="">
      <xdr:nvSpPr>
        <xdr:cNvPr id="36" name="TextBox 35">
          <a:extLst>
            <a:ext uri="{FF2B5EF4-FFF2-40B4-BE49-F238E27FC236}">
              <a16:creationId xmlns:a16="http://schemas.microsoft.com/office/drawing/2014/main" id="{C8F53C73-0030-4812-A421-AB9F470F82CA}"/>
            </a:ext>
          </a:extLst>
        </xdr:cNvPr>
        <xdr:cNvSpPr txBox="1"/>
      </xdr:nvSpPr>
      <xdr:spPr>
        <a:xfrm>
          <a:off x="2886630" y="104892"/>
          <a:ext cx="6303902"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000">
              <a:solidFill>
                <a:srgbClr val="1F2937"/>
              </a:solidFill>
            </a:rPr>
            <a:t>Data Intelligence Dashboard</a:t>
          </a:r>
        </a:p>
      </xdr:txBody>
    </xdr:sp>
    <xdr:clientData/>
  </xdr:oneCellAnchor>
  <xdr:twoCellAnchor editAs="oneCell">
    <xdr:from>
      <xdr:col>3</xdr:col>
      <xdr:colOff>167819</xdr:colOff>
      <xdr:row>0</xdr:row>
      <xdr:rowOff>35277</xdr:rowOff>
    </xdr:from>
    <xdr:to>
      <xdr:col>4</xdr:col>
      <xdr:colOff>471577</xdr:colOff>
      <xdr:row>5</xdr:row>
      <xdr:rowOff>8936</xdr:rowOff>
    </xdr:to>
    <xdr:pic>
      <xdr:nvPicPr>
        <xdr:cNvPr id="38" name="Graphic 37" descr="Presentation with pie chart with solid fill">
          <a:extLst>
            <a:ext uri="{FF2B5EF4-FFF2-40B4-BE49-F238E27FC236}">
              <a16:creationId xmlns:a16="http://schemas.microsoft.com/office/drawing/2014/main" id="{46FDE006-4DF9-C9E2-3C0E-DC84D201B10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04783" y="35277"/>
          <a:ext cx="916080" cy="926159"/>
        </a:xfrm>
        <a:prstGeom prst="rect">
          <a:avLst/>
        </a:prstGeom>
      </xdr:spPr>
    </xdr:pic>
    <xdr:clientData/>
  </xdr:twoCellAnchor>
  <xdr:twoCellAnchor>
    <xdr:from>
      <xdr:col>0</xdr:col>
      <xdr:colOff>235187</xdr:colOff>
      <xdr:row>44</xdr:row>
      <xdr:rowOff>82314</xdr:rowOff>
    </xdr:from>
    <xdr:to>
      <xdr:col>8</xdr:col>
      <xdr:colOff>188150</xdr:colOff>
      <xdr:row>47</xdr:row>
      <xdr:rowOff>47036</xdr:rowOff>
    </xdr:to>
    <xdr:sp macro="" textlink="">
      <xdr:nvSpPr>
        <xdr:cNvPr id="39" name="Rectangle: Rounded Corners 38">
          <a:extLst>
            <a:ext uri="{FF2B5EF4-FFF2-40B4-BE49-F238E27FC236}">
              <a16:creationId xmlns:a16="http://schemas.microsoft.com/office/drawing/2014/main" id="{781B876D-A993-9A70-1726-C208D33E20FC}"/>
            </a:ext>
          </a:extLst>
        </xdr:cNvPr>
        <xdr:cNvSpPr/>
      </xdr:nvSpPr>
      <xdr:spPr>
        <a:xfrm>
          <a:off x="235187" y="8360833"/>
          <a:ext cx="5350463" cy="529166"/>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352307</xdr:colOff>
      <xdr:row>44</xdr:row>
      <xdr:rowOff>81843</xdr:rowOff>
    </xdr:from>
    <xdr:to>
      <xdr:col>17</xdr:col>
      <xdr:colOff>199437</xdr:colOff>
      <xdr:row>47</xdr:row>
      <xdr:rowOff>46565</xdr:rowOff>
    </xdr:to>
    <xdr:sp macro="" textlink="">
      <xdr:nvSpPr>
        <xdr:cNvPr id="40" name="Rectangle: Rounded Corners 39">
          <a:extLst>
            <a:ext uri="{FF2B5EF4-FFF2-40B4-BE49-F238E27FC236}">
              <a16:creationId xmlns:a16="http://schemas.microsoft.com/office/drawing/2014/main" id="{2FAFB5ED-3469-45D7-8A3B-946A5D6DD60E}"/>
            </a:ext>
          </a:extLst>
        </xdr:cNvPr>
        <xdr:cNvSpPr/>
      </xdr:nvSpPr>
      <xdr:spPr>
        <a:xfrm>
          <a:off x="5749807" y="8360362"/>
          <a:ext cx="5350463" cy="529166"/>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364066</xdr:colOff>
      <xdr:row>44</xdr:row>
      <xdr:rowOff>70086</xdr:rowOff>
    </xdr:from>
    <xdr:ext cx="2425600" cy="530658"/>
    <xdr:sp macro="" textlink="">
      <xdr:nvSpPr>
        <xdr:cNvPr id="41" name="TextBox 40">
          <a:extLst>
            <a:ext uri="{FF2B5EF4-FFF2-40B4-BE49-F238E27FC236}">
              <a16:creationId xmlns:a16="http://schemas.microsoft.com/office/drawing/2014/main" id="{C5FCCF45-E00A-4D45-BBC6-B78BF196AB20}"/>
            </a:ext>
          </a:extLst>
        </xdr:cNvPr>
        <xdr:cNvSpPr txBox="1"/>
      </xdr:nvSpPr>
      <xdr:spPr>
        <a:xfrm>
          <a:off x="364066" y="8452086"/>
          <a:ext cx="24256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solidFill>
                <a:srgbClr val="1F2937"/>
              </a:solidFill>
            </a:rPr>
            <a:t>Total Customer</a:t>
          </a:r>
        </a:p>
      </xdr:txBody>
    </xdr:sp>
    <xdr:clientData/>
  </xdr:oneCellAnchor>
  <xdr:oneCellAnchor>
    <xdr:from>
      <xdr:col>8</xdr:col>
      <xdr:colOff>410633</xdr:colOff>
      <xdr:row>44</xdr:row>
      <xdr:rowOff>69616</xdr:rowOff>
    </xdr:from>
    <xdr:ext cx="2860783" cy="530658"/>
    <xdr:sp macro="" textlink="">
      <xdr:nvSpPr>
        <xdr:cNvPr id="42" name="TextBox 41">
          <a:extLst>
            <a:ext uri="{FF2B5EF4-FFF2-40B4-BE49-F238E27FC236}">
              <a16:creationId xmlns:a16="http://schemas.microsoft.com/office/drawing/2014/main" id="{41C12C8D-85D2-436D-AD6A-5EF6F7F6D768}"/>
            </a:ext>
          </a:extLst>
        </xdr:cNvPr>
        <xdr:cNvSpPr txBox="1"/>
      </xdr:nvSpPr>
      <xdr:spPr>
        <a:xfrm>
          <a:off x="5826276" y="8451616"/>
          <a:ext cx="286078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solidFill>
                <a:srgbClr val="1F2937"/>
              </a:solidFill>
            </a:rPr>
            <a:t>Total Sold</a:t>
          </a:r>
          <a:r>
            <a:rPr lang="en-IN" sz="2800" baseline="0">
              <a:solidFill>
                <a:srgbClr val="1F2937"/>
              </a:solidFill>
            </a:rPr>
            <a:t> Product</a:t>
          </a:r>
        </a:p>
      </xdr:txBody>
    </xdr:sp>
    <xdr:clientData/>
  </xdr:oneCellAnchor>
  <xdr:oneCellAnchor>
    <xdr:from>
      <xdr:col>6</xdr:col>
      <xdr:colOff>269522</xdr:colOff>
      <xdr:row>44</xdr:row>
      <xdr:rowOff>81376</xdr:rowOff>
    </xdr:from>
    <xdr:ext cx="1388535" cy="530658"/>
    <xdr:sp macro="" textlink="$S$5">
      <xdr:nvSpPr>
        <xdr:cNvPr id="43" name="TextBox 42">
          <a:extLst>
            <a:ext uri="{FF2B5EF4-FFF2-40B4-BE49-F238E27FC236}">
              <a16:creationId xmlns:a16="http://schemas.microsoft.com/office/drawing/2014/main" id="{F42FC91D-F111-43D0-96D1-9DB977B7722C}"/>
            </a:ext>
          </a:extLst>
        </xdr:cNvPr>
        <xdr:cNvSpPr txBox="1"/>
      </xdr:nvSpPr>
      <xdr:spPr>
        <a:xfrm>
          <a:off x="3920772" y="8230543"/>
          <a:ext cx="138853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5987B1D-6EC9-4663-8C28-758B496E5774}" type="TxLink">
            <a:rPr lang="en-US" sz="2800" b="0" i="0" u="none" strike="noStrike">
              <a:solidFill>
                <a:srgbClr val="0B3D2E"/>
              </a:solidFill>
              <a:latin typeface="Calibri"/>
              <a:ea typeface="Calibri"/>
              <a:cs typeface="Calibri"/>
            </a:rPr>
            <a:pPr algn="ctr"/>
            <a:t>250</a:t>
          </a:fld>
          <a:endParaRPr lang="en-IN" sz="9600">
            <a:solidFill>
              <a:srgbClr val="0B3D2E"/>
            </a:solidFill>
          </a:endParaRPr>
        </a:p>
      </xdr:txBody>
    </xdr:sp>
    <xdr:clientData/>
  </xdr:oneCellAnchor>
  <xdr:oneCellAnchor>
    <xdr:from>
      <xdr:col>14</xdr:col>
      <xdr:colOff>177859</xdr:colOff>
      <xdr:row>44</xdr:row>
      <xdr:rowOff>47038</xdr:rowOff>
    </xdr:from>
    <xdr:ext cx="1952509" cy="593304"/>
    <xdr:sp macro="" textlink="$S$6">
      <xdr:nvSpPr>
        <xdr:cNvPr id="44" name="TextBox 43">
          <a:extLst>
            <a:ext uri="{FF2B5EF4-FFF2-40B4-BE49-F238E27FC236}">
              <a16:creationId xmlns:a16="http://schemas.microsoft.com/office/drawing/2014/main" id="{8A8361A0-6020-4C43-BCB4-ED035F28053C}"/>
            </a:ext>
          </a:extLst>
        </xdr:cNvPr>
        <xdr:cNvSpPr txBox="1"/>
      </xdr:nvSpPr>
      <xdr:spPr>
        <a:xfrm>
          <a:off x="9213380" y="8196205"/>
          <a:ext cx="195250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FB90D3D-21DE-480F-84DF-5A1AF96C81A7}" type="TxLink">
            <a:rPr lang="en-US" sz="3200" b="0" i="0" u="none" strike="noStrike">
              <a:solidFill>
                <a:srgbClr val="0B3D2E"/>
              </a:solidFill>
              <a:latin typeface="Calibri"/>
              <a:ea typeface="Calibri"/>
              <a:cs typeface="Calibri"/>
            </a:rPr>
            <a:pPr algn="ctr"/>
            <a:t>753</a:t>
          </a:fld>
          <a:endParaRPr lang="en-IN" sz="41300">
            <a:solidFill>
              <a:srgbClr val="0B3D2E"/>
            </a:solidFill>
          </a:endParaRPr>
        </a:p>
      </xdr:txBody>
    </xdr:sp>
    <xdr:clientData/>
  </xdr:oneCellAnchor>
  <xdr:twoCellAnchor editAs="oneCell">
    <xdr:from>
      <xdr:col>4</xdr:col>
      <xdr:colOff>595858</xdr:colOff>
      <xdr:row>44</xdr:row>
      <xdr:rowOff>5039</xdr:rowOff>
    </xdr:from>
    <xdr:to>
      <xdr:col>6</xdr:col>
      <xdr:colOff>12042</xdr:colOff>
      <xdr:row>47</xdr:row>
      <xdr:rowOff>81539</xdr:rowOff>
    </xdr:to>
    <xdr:pic>
      <xdr:nvPicPr>
        <xdr:cNvPr id="46" name="Graphic 45" descr="Right pointing backhand index with solid fill">
          <a:extLst>
            <a:ext uri="{FF2B5EF4-FFF2-40B4-BE49-F238E27FC236}">
              <a16:creationId xmlns:a16="http://schemas.microsoft.com/office/drawing/2014/main" id="{D338BD38-7C76-C4E9-A66D-98CE6726339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45144" y="8387039"/>
          <a:ext cx="640827" cy="648000"/>
        </a:xfrm>
        <a:prstGeom prst="rect">
          <a:avLst/>
        </a:prstGeom>
      </xdr:spPr>
    </xdr:pic>
    <xdr:clientData/>
  </xdr:twoCellAnchor>
  <xdr:twoCellAnchor editAs="oneCell">
    <xdr:from>
      <xdr:col>13</xdr:col>
      <xdr:colOff>554566</xdr:colOff>
      <xdr:row>44</xdr:row>
      <xdr:rowOff>873</xdr:rowOff>
    </xdr:from>
    <xdr:to>
      <xdr:col>14</xdr:col>
      <xdr:colOff>583071</xdr:colOff>
      <xdr:row>47</xdr:row>
      <xdr:rowOff>77373</xdr:rowOff>
    </xdr:to>
    <xdr:pic>
      <xdr:nvPicPr>
        <xdr:cNvPr id="47" name="Graphic 46" descr="Right pointing backhand index with solid fill">
          <a:extLst>
            <a:ext uri="{FF2B5EF4-FFF2-40B4-BE49-F238E27FC236}">
              <a16:creationId xmlns:a16="http://schemas.microsoft.com/office/drawing/2014/main" id="{E4AE58E1-C4A9-4210-A193-9C91307DFCA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31816" y="8382873"/>
          <a:ext cx="640826" cy="648000"/>
        </a:xfrm>
        <a:prstGeom prst="rect">
          <a:avLst/>
        </a:prstGeom>
      </xdr:spPr>
    </xdr:pic>
    <xdr:clientData/>
  </xdr:twoCellAnchor>
  <xdr:oneCellAnchor>
    <xdr:from>
      <xdr:col>1</xdr:col>
      <xdr:colOff>234242</xdr:colOff>
      <xdr:row>4</xdr:row>
      <xdr:rowOff>59329</xdr:rowOff>
    </xdr:from>
    <xdr:ext cx="1952509" cy="593304"/>
    <xdr:sp macro="" textlink="">
      <xdr:nvSpPr>
        <xdr:cNvPr id="50" name="TextBox 49">
          <a:extLst>
            <a:ext uri="{FF2B5EF4-FFF2-40B4-BE49-F238E27FC236}">
              <a16:creationId xmlns:a16="http://schemas.microsoft.com/office/drawing/2014/main" id="{E39351E7-9537-4282-A1F3-F97C8E379332}"/>
            </a:ext>
          </a:extLst>
        </xdr:cNvPr>
        <xdr:cNvSpPr txBox="1"/>
      </xdr:nvSpPr>
      <xdr:spPr>
        <a:xfrm>
          <a:off x="842784" y="800162"/>
          <a:ext cx="195250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b="0" i="0" u="none" strike="noStrike">
              <a:solidFill>
                <a:srgbClr val="000000"/>
              </a:solidFill>
              <a:latin typeface="Calibri"/>
              <a:ea typeface="Calibri"/>
              <a:cs typeface="Calibri"/>
            </a:rPr>
            <a:t>Click</a:t>
          </a:r>
        </a:p>
      </xdr:txBody>
    </xdr:sp>
    <xdr:clientData/>
  </xdr:oneCellAnchor>
  <xdr:oneCellAnchor>
    <xdr:from>
      <xdr:col>14</xdr:col>
      <xdr:colOff>16226</xdr:colOff>
      <xdr:row>4</xdr:row>
      <xdr:rowOff>52979</xdr:rowOff>
    </xdr:from>
    <xdr:ext cx="1952509" cy="593304"/>
    <xdr:sp macro="" textlink="">
      <xdr:nvSpPr>
        <xdr:cNvPr id="51" name="TextBox 50">
          <a:extLst>
            <a:ext uri="{FF2B5EF4-FFF2-40B4-BE49-F238E27FC236}">
              <a16:creationId xmlns:a16="http://schemas.microsoft.com/office/drawing/2014/main" id="{7B15F640-DAC8-4FE5-944E-0A819D6A77BF}"/>
            </a:ext>
          </a:extLst>
        </xdr:cNvPr>
        <xdr:cNvSpPr txBox="1"/>
      </xdr:nvSpPr>
      <xdr:spPr>
        <a:xfrm>
          <a:off x="9051747" y="793812"/>
          <a:ext cx="195250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b="0" i="0" u="none" strike="noStrike">
              <a:solidFill>
                <a:srgbClr val="000000"/>
              </a:solidFill>
              <a:latin typeface="Calibri"/>
              <a:ea typeface="Calibri"/>
              <a:cs typeface="Calibri"/>
            </a:rPr>
            <a:t>Click</a:t>
          </a:r>
        </a:p>
      </xdr:txBody>
    </xdr:sp>
    <xdr:clientData/>
  </xdr:oneCellAnchor>
  <xdr:twoCellAnchor>
    <xdr:from>
      <xdr:col>6</xdr:col>
      <xdr:colOff>287632</xdr:colOff>
      <xdr:row>27</xdr:row>
      <xdr:rowOff>13229</xdr:rowOff>
    </xdr:from>
    <xdr:to>
      <xdr:col>11</xdr:col>
      <xdr:colOff>79375</xdr:colOff>
      <xdr:row>43</xdr:row>
      <xdr:rowOff>158750</xdr:rowOff>
    </xdr:to>
    <xdr:graphicFrame macro="">
      <xdr:nvGraphicFramePr>
        <xdr:cNvPr id="11" name="Chart 10">
          <a:extLst>
            <a:ext uri="{FF2B5EF4-FFF2-40B4-BE49-F238E27FC236}">
              <a16:creationId xmlns:a16="http://schemas.microsoft.com/office/drawing/2014/main" id="{EF475F38-79B0-4737-8002-0F7BD0D7A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105833</xdr:colOff>
      <xdr:row>12</xdr:row>
      <xdr:rowOff>52918</xdr:rowOff>
    </xdr:from>
    <xdr:to>
      <xdr:col>7</xdr:col>
      <xdr:colOff>833437</xdr:colOff>
      <xdr:row>17</xdr:row>
      <xdr:rowOff>171980</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07BFF6FF-0A21-41C0-BA53-5FCD89CCDCE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55119" y="2338918"/>
              <a:ext cx="2795889" cy="1071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13606</xdr:colOff>
      <xdr:row>1</xdr:row>
      <xdr:rowOff>136071</xdr:rowOff>
    </xdr:from>
    <xdr:to>
      <xdr:col>19</xdr:col>
      <xdr:colOff>353785</xdr:colOff>
      <xdr:row>5</xdr:row>
      <xdr:rowOff>13607</xdr:rowOff>
    </xdr:to>
    <xdr:sp macro="" textlink="">
      <xdr:nvSpPr>
        <xdr:cNvPr id="55" name="Rectangle 54">
          <a:extLst>
            <a:ext uri="{FF2B5EF4-FFF2-40B4-BE49-F238E27FC236}">
              <a16:creationId xmlns:a16="http://schemas.microsoft.com/office/drawing/2014/main" id="{EAAE1D6E-EFEB-DD4A-63D3-8CB5E068B5D5}"/>
            </a:ext>
          </a:extLst>
        </xdr:cNvPr>
        <xdr:cNvSpPr/>
      </xdr:nvSpPr>
      <xdr:spPr>
        <a:xfrm>
          <a:off x="11552463" y="326571"/>
          <a:ext cx="1360715" cy="63953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oneCellAnchor>
    <xdr:from>
      <xdr:col>18</xdr:col>
      <xdr:colOff>385539</xdr:colOff>
      <xdr:row>0</xdr:row>
      <xdr:rowOff>174624</xdr:rowOff>
    </xdr:from>
    <xdr:ext cx="9252858" cy="2124000"/>
    <xdr:sp macro="" textlink="">
      <xdr:nvSpPr>
        <xdr:cNvPr id="56" name="TextBox 55">
          <a:extLst>
            <a:ext uri="{FF2B5EF4-FFF2-40B4-BE49-F238E27FC236}">
              <a16:creationId xmlns:a16="http://schemas.microsoft.com/office/drawing/2014/main" id="{0B1C428D-6EC4-8A7F-0DD6-CEDE63E1BC6B}"/>
            </a:ext>
          </a:extLst>
        </xdr:cNvPr>
        <xdr:cNvSpPr txBox="1"/>
      </xdr:nvSpPr>
      <xdr:spPr>
        <a:xfrm>
          <a:off x="11767914" y="174624"/>
          <a:ext cx="9252858" cy="2124000"/>
        </a:xfrm>
        <a:prstGeom prst="rect">
          <a:avLst/>
        </a:prstGeom>
        <a:ln w="57150"/>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spAutoFit/>
        </a:bodyPr>
        <a:lstStyle/>
        <a:p>
          <a:r>
            <a:rPr lang="en-IN" sz="3600"/>
            <a:t>Key Insights:</a:t>
          </a:r>
        </a:p>
        <a:p>
          <a:r>
            <a:rPr lang="en-IN" sz="1400"/>
            <a:t>🫸Sales in 2025 declined by </a:t>
          </a:r>
          <a:r>
            <a:rPr lang="en-IN" sz="1400" b="1"/>
            <a:t>57.15%</a:t>
          </a:r>
          <a:r>
            <a:rPr lang="en-IN" sz="1400"/>
            <a:t> compared to 2024, indicating a significant drop in overall revenue.</a:t>
          </a:r>
        </a:p>
        <a:p>
          <a:r>
            <a:rPr lang="en-IN" sz="1400"/>
            <a:t>🫸Monthly sales trends show stronger performance in 2024, while 2025 experienced inconsistent and lower sales.</a:t>
          </a:r>
        </a:p>
        <a:p>
          <a:r>
            <a:rPr lang="en-IN" sz="1400"/>
            <a:t>🫸The </a:t>
          </a:r>
          <a:r>
            <a:rPr lang="en-IN" sz="1400" b="1"/>
            <a:t>East and North regions</a:t>
          </a:r>
          <a:r>
            <a:rPr lang="en-IN" sz="1400"/>
            <a:t> generated higher sales, whereas the </a:t>
          </a:r>
          <a:r>
            <a:rPr lang="en-IN" sz="1400" b="1"/>
            <a:t>South region</a:t>
          </a:r>
          <a:r>
            <a:rPr lang="en-IN" sz="1400"/>
            <a:t> underperformed.</a:t>
          </a:r>
        </a:p>
        <a:p>
          <a:r>
            <a:rPr lang="en-IN" sz="1400" b="1"/>
            <a:t>🫸Mark Carter</a:t>
          </a:r>
          <a:r>
            <a:rPr lang="en-IN" sz="1400"/>
            <a:t> is the top customer, contributing the highest sales value among all customers.</a:t>
          </a:r>
        </a:p>
        <a:p>
          <a:r>
            <a:rPr lang="en-IN" sz="1400" b="1"/>
            <a:t>🫸Bookshelf</a:t>
          </a:r>
          <a:r>
            <a:rPr lang="en-IN" sz="1400"/>
            <a:t> is the most sold product by quantity, followed by </a:t>
          </a:r>
          <a:r>
            <a:rPr lang="en-IN" sz="1400" b="1"/>
            <a:t>Smartphone</a:t>
          </a:r>
          <a:r>
            <a:rPr lang="en-IN" sz="1400"/>
            <a:t> and </a:t>
          </a:r>
          <a:r>
            <a:rPr lang="en-IN" sz="1400" b="1"/>
            <a:t>Keyboard</a:t>
          </a:r>
          <a:r>
            <a:rPr lang="en-IN" sz="1400"/>
            <a:t>.</a:t>
          </a:r>
        </a:p>
        <a:p>
          <a:r>
            <a:rPr lang="en-IN" sz="1400"/>
            <a:t>🫸The top 10% of customers contribute a major share of total sales, highlighting the importance of customer retention.</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695324</xdr:colOff>
      <xdr:row>13</xdr:row>
      <xdr:rowOff>109537</xdr:rowOff>
    </xdr:from>
    <xdr:to>
      <xdr:col>8</xdr:col>
      <xdr:colOff>323849</xdr:colOff>
      <xdr:row>33</xdr:row>
      <xdr:rowOff>47625</xdr:rowOff>
    </xdr:to>
    <xdr:graphicFrame macro="">
      <xdr:nvGraphicFramePr>
        <xdr:cNvPr id="2" name="Chart 1">
          <a:extLst>
            <a:ext uri="{FF2B5EF4-FFF2-40B4-BE49-F238E27FC236}">
              <a16:creationId xmlns:a16="http://schemas.microsoft.com/office/drawing/2014/main" id="{005486A7-BDF5-5CAF-3AF1-EDB205D48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28574</xdr:rowOff>
    </xdr:from>
    <xdr:to>
      <xdr:col>0</xdr:col>
      <xdr:colOff>866774</xdr:colOff>
      <xdr:row>4</xdr:row>
      <xdr:rowOff>133349</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B8E2B737-623F-524E-4486-134AF8E33A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28574"/>
          <a:ext cx="866774" cy="8667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700085</xdr:colOff>
      <xdr:row>14</xdr:row>
      <xdr:rowOff>80962</xdr:rowOff>
    </xdr:from>
    <xdr:to>
      <xdr:col>9</xdr:col>
      <xdr:colOff>219074</xdr:colOff>
      <xdr:row>31</xdr:row>
      <xdr:rowOff>104776</xdr:rowOff>
    </xdr:to>
    <xdr:graphicFrame macro="">
      <xdr:nvGraphicFramePr>
        <xdr:cNvPr id="2" name="Chart 1">
          <a:extLst>
            <a:ext uri="{FF2B5EF4-FFF2-40B4-BE49-F238E27FC236}">
              <a16:creationId xmlns:a16="http://schemas.microsoft.com/office/drawing/2014/main" id="{6A9BDD07-F7F6-E828-650D-37903BF49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866774</xdr:colOff>
      <xdr:row>4</xdr:row>
      <xdr:rowOff>104775</xdr:rowOff>
    </xdr:to>
    <xdr:pic>
      <xdr:nvPicPr>
        <xdr:cNvPr id="3" name="Graphic 2" descr="House with solid fill">
          <a:hlinkClick xmlns:r="http://schemas.openxmlformats.org/officeDocument/2006/relationships" r:id="rId2"/>
          <a:extLst>
            <a:ext uri="{FF2B5EF4-FFF2-40B4-BE49-F238E27FC236}">
              <a16:creationId xmlns:a16="http://schemas.microsoft.com/office/drawing/2014/main" id="{A00D081B-896A-495F-84FA-108B1F9055B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866774" cy="8667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22</xdr:row>
      <xdr:rowOff>14287</xdr:rowOff>
    </xdr:from>
    <xdr:to>
      <xdr:col>2</xdr:col>
      <xdr:colOff>95250</xdr:colOff>
      <xdr:row>36</xdr:row>
      <xdr:rowOff>90487</xdr:rowOff>
    </xdr:to>
    <xdr:graphicFrame macro="">
      <xdr:nvGraphicFramePr>
        <xdr:cNvPr id="2" name="Chart 1">
          <a:extLst>
            <a:ext uri="{FF2B5EF4-FFF2-40B4-BE49-F238E27FC236}">
              <a16:creationId xmlns:a16="http://schemas.microsoft.com/office/drawing/2014/main" id="{56928172-4B3E-3F2A-A2AF-712B1CDCC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952500</xdr:colOff>
      <xdr:row>18</xdr:row>
      <xdr:rowOff>100012</xdr:rowOff>
    </xdr:from>
    <xdr:to>
      <xdr:col>13</xdr:col>
      <xdr:colOff>200025</xdr:colOff>
      <xdr:row>32</xdr:row>
      <xdr:rowOff>176212</xdr:rowOff>
    </xdr:to>
    <xdr:graphicFrame macro="">
      <xdr:nvGraphicFramePr>
        <xdr:cNvPr id="5" name="Chart 4">
          <a:extLst>
            <a:ext uri="{FF2B5EF4-FFF2-40B4-BE49-F238E27FC236}">
              <a16:creationId xmlns:a16="http://schemas.microsoft.com/office/drawing/2014/main" id="{C0E122FB-D011-C2FE-63E2-95F1B0791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21</xdr:row>
      <xdr:rowOff>71437</xdr:rowOff>
    </xdr:from>
    <xdr:to>
      <xdr:col>6</xdr:col>
      <xdr:colOff>1104900</xdr:colOff>
      <xdr:row>35</xdr:row>
      <xdr:rowOff>147637</xdr:rowOff>
    </xdr:to>
    <xdr:graphicFrame macro="">
      <xdr:nvGraphicFramePr>
        <xdr:cNvPr id="3" name="Chart 2">
          <a:extLst>
            <a:ext uri="{FF2B5EF4-FFF2-40B4-BE49-F238E27FC236}">
              <a16:creationId xmlns:a16="http://schemas.microsoft.com/office/drawing/2014/main" id="{5A662E2A-ABD8-F8D7-E937-39BFD86EE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19</xdr:row>
      <xdr:rowOff>142875</xdr:rowOff>
    </xdr:from>
    <xdr:ext cx="9252858" cy="1113831"/>
    <xdr:sp macro="" textlink="">
      <xdr:nvSpPr>
        <xdr:cNvPr id="2" name="TextBox 1">
          <a:extLst>
            <a:ext uri="{FF2B5EF4-FFF2-40B4-BE49-F238E27FC236}">
              <a16:creationId xmlns:a16="http://schemas.microsoft.com/office/drawing/2014/main" id="{B47BFAA1-A75D-4C05-B320-5297453ED2E6}"/>
            </a:ext>
          </a:extLst>
        </xdr:cNvPr>
        <xdr:cNvSpPr txBox="1"/>
      </xdr:nvSpPr>
      <xdr:spPr>
        <a:xfrm>
          <a:off x="0" y="3914775"/>
          <a:ext cx="9252858" cy="1113831"/>
        </a:xfrm>
        <a:prstGeom prst="rect">
          <a:avLst/>
        </a:prstGeom>
        <a:ln w="57150"/>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spAutoFit/>
        </a:bodyPr>
        <a:lstStyle/>
        <a:p>
          <a:r>
            <a:rPr lang="en-IN" sz="3600"/>
            <a:t>Key Insights:</a:t>
          </a:r>
        </a:p>
        <a:p>
          <a:r>
            <a:rPr lang="en-IN" sz="1400"/>
            <a:t>🫸</a:t>
          </a:r>
          <a:r>
            <a:rPr lang="en-IN" sz="1100" b="0" i="0" u="none" strike="noStrike">
              <a:solidFill>
                <a:schemeClr val="dk1"/>
              </a:solidFill>
              <a:effectLst/>
              <a:latin typeface="+mn-lt"/>
              <a:ea typeface="+mn-ea"/>
              <a:cs typeface="+mn-cs"/>
            </a:rPr>
            <a:t>Regression analysis shows a statistically significant positive relationship between quantity and total sales, where each additional unit sold increases revenue by approximately ₹354, while quantity explains about 21% of sales variation, indicating other factors also influence sales.</a:t>
          </a:r>
          <a:r>
            <a:rPr lang="en-IN" sz="1400">
              <a:effectLst/>
            </a:rPr>
            <a:t> </a:t>
          </a:r>
          <a:endParaRPr lang="en-IN" sz="14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MAKVANA" refreshedDate="46042.511592824078" createdVersion="8" refreshedVersion="8" minRefreshableVersion="3" recordCount="250" xr:uid="{894A7099-4F46-45D0-8552-14A496761B79}">
  <cacheSource type="worksheet">
    <worksheetSource name="Table1"/>
  </cacheSource>
  <cacheFields count="2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26"/>
    </cacheField>
    <cacheField name="month" numFmtId="1">
      <sharedItems containsMixedTypes="1" containsNumber="1" containsInteger="1" minValue="1" maxValue="12" count="24">
        <s v="Apr"/>
        <s v="May"/>
        <s v="Jun"/>
        <s v="Jul"/>
        <s v="Aug"/>
        <s v="Sep"/>
        <s v="Oct"/>
        <s v="Nov"/>
        <s v="Dec"/>
        <s v="Jan"/>
        <s v="Feb"/>
        <s v="Mar"/>
        <n v="4" u="1"/>
        <n v="5" u="1"/>
        <n v="6" u="1"/>
        <n v="7" u="1"/>
        <n v="8" u="1"/>
        <n v="9" u="1"/>
        <n v="10" u="1"/>
        <n v="11" u="1"/>
        <n v="12" u="1"/>
        <n v="1" u="1"/>
        <n v="2" u="1"/>
        <n v="3" u="1"/>
      </sharedItems>
    </cacheField>
    <cacheField name="year" numFmtId="1">
      <sharedItems containsSemiMixedTypes="0" containsString="0" containsNumber="1" containsInteger="1" minValue="2024" maxValue="2025" count="2">
        <n v="2024"/>
        <n v="2025"/>
      </sharedItems>
    </cacheField>
    <cacheField name="date_year" numFmtId="14">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customer sort name" numFmtId="0">
      <sharedItems/>
    </cacheField>
    <cacheField name="Product_ID" numFmtId="0">
      <sharedItems count="10">
        <s v="P009"/>
        <s v="P005"/>
        <s v="P008"/>
        <s v="P003"/>
        <s v="P001"/>
        <s v="P002"/>
        <s v="P007"/>
        <s v="P004"/>
        <s v="P010"/>
        <s v="P006"/>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region Code" numFmtId="0">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164">
      <sharedItems containsSemiMixedTypes="0" containsString="0" containsNumber="1" minValue="59.99" maxValue="4499.95"/>
    </cacheField>
    <cacheField name="Today_Date" numFmtId="14">
      <sharedItems containsSemiMixedTypes="0" containsNonDate="0" containsDate="1" containsString="0" minDate="2026-01-20T00:00:00" maxDate="2026-01-21T00:00:00"/>
    </cacheField>
    <cacheField name="current_Timestamp" numFmtId="22">
      <sharedItems containsSemiMixedTypes="0" containsNonDate="0" containsDate="1" containsString="0" minDate="2026-01-20T12:16:28" maxDate="2026-01-20T12:16:28"/>
    </cacheField>
    <cacheField name="Order_Age_Days" numFmtId="0">
      <sharedItems containsSemiMixedTypes="0" containsString="0" containsNumber="1" containsInteger="1" minValue="284" maxValue="649"/>
    </cacheField>
    <cacheField name="Month_End_Date" numFmtId="14">
      <sharedItems containsSemiMixedTypes="0" containsNonDate="0" containsDate="1" containsString="0" minDate="2024-04-30T00:00:00" maxDate="2025-05-01T00:00:00"/>
    </cacheField>
    <cacheField name="created_Timestamp" numFmtId="22">
      <sharedItems containsSemiMixedTypes="0" containsNonDate="0" containsDate="1" containsString="0" minDate="2026-01-18T14:57:01" maxDate="2026-01-18T14:57:01"/>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584357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x v="0"/>
    <x v="0"/>
    <s v="Apr-2024"/>
    <s v="CUST023"/>
    <x v="0"/>
    <s v="PB"/>
    <x v="0"/>
    <x v="0"/>
    <x v="0"/>
    <n v="3"/>
    <n v="249.99"/>
    <s v="Cash"/>
    <x v="0"/>
    <s v="CE"/>
    <x v="0"/>
    <d v="2021-08-17T00:00:00"/>
    <n v="749.97"/>
    <d v="2026-01-20T00:00:00"/>
    <d v="2026-01-20T12:16:28"/>
    <n v="649"/>
    <d v="2024-04-30T00:00:00"/>
    <d v="2026-01-18T14:57:01"/>
  </r>
  <r>
    <s v="TRX0023"/>
    <x v="1"/>
    <x v="0"/>
    <x v="0"/>
    <s v="Apr-2024"/>
    <s v="CUST013"/>
    <x v="1"/>
    <s v="JJ"/>
    <x v="0"/>
    <x v="0"/>
    <x v="0"/>
    <n v="3"/>
    <n v="249.99"/>
    <s v="Credit Card"/>
    <x v="0"/>
    <s v="CE"/>
    <x v="1"/>
    <d v="2022-01-14T00:00:00"/>
    <n v="749.97"/>
    <d v="2026-01-20T00:00:00"/>
    <d v="2026-01-20T12:16:28"/>
    <n v="646"/>
    <d v="2024-04-30T00:00:00"/>
    <d v="2026-01-18T14:57:01"/>
  </r>
  <r>
    <s v="TRX0139"/>
    <x v="2"/>
    <x v="0"/>
    <x v="0"/>
    <s v="Apr-2024"/>
    <s v="CUST021"/>
    <x v="2"/>
    <s v="KS"/>
    <x v="1"/>
    <x v="1"/>
    <x v="1"/>
    <n v="3"/>
    <n v="59.99"/>
    <s v="PayPal"/>
    <x v="1"/>
    <s v="SO"/>
    <x v="2"/>
    <d v="2023-12-02T00:00:00"/>
    <n v="179.97"/>
    <d v="2026-01-20T00:00:00"/>
    <d v="2026-01-20T12:16:28"/>
    <n v="643"/>
    <d v="2024-04-30T00:00:00"/>
    <d v="2026-01-18T14:57:01"/>
  </r>
  <r>
    <s v="TRX0043"/>
    <x v="3"/>
    <x v="0"/>
    <x v="0"/>
    <s v="Apr-2024"/>
    <s v="CUST046"/>
    <x v="3"/>
    <s v="KB"/>
    <x v="1"/>
    <x v="1"/>
    <x v="1"/>
    <n v="3"/>
    <n v="59.99"/>
    <s v="Cash"/>
    <x v="2"/>
    <s v="NO"/>
    <x v="1"/>
    <d v="2023-07-07T00:00:00"/>
    <n v="179.97"/>
    <d v="2026-01-20T00:00:00"/>
    <d v="2026-01-20T12:16:28"/>
    <n v="642"/>
    <d v="2024-04-30T00:00:00"/>
    <d v="2026-01-18T14:57:01"/>
  </r>
  <r>
    <s v="TRX0212"/>
    <x v="3"/>
    <x v="0"/>
    <x v="0"/>
    <s v="Apr-2024"/>
    <s v="CUST003"/>
    <x v="4"/>
    <s v="MB"/>
    <x v="2"/>
    <x v="2"/>
    <x v="2"/>
    <n v="5"/>
    <n v="149.99"/>
    <s v="Credit Card"/>
    <x v="2"/>
    <s v="NO"/>
    <x v="1"/>
    <d v="2024-01-04T00:00:00"/>
    <n v="749.95"/>
    <d v="2026-01-20T00:00:00"/>
    <d v="2026-01-20T12:16:28"/>
    <n v="642"/>
    <d v="2024-04-30T00:00:00"/>
    <d v="2026-01-18T14:57:01"/>
  </r>
  <r>
    <s v="TRX0092"/>
    <x v="4"/>
    <x v="0"/>
    <x v="0"/>
    <s v="Apr-2024"/>
    <s v="CUST024"/>
    <x v="5"/>
    <s v="DN"/>
    <x v="1"/>
    <x v="1"/>
    <x v="1"/>
    <n v="2"/>
    <n v="59.99"/>
    <s v="Cash"/>
    <x v="3"/>
    <s v="WE"/>
    <x v="2"/>
    <d v="2022-07-04T00:00:00"/>
    <n v="119.98"/>
    <d v="2026-01-20T00:00:00"/>
    <d v="2026-01-20T12:16:28"/>
    <n v="639"/>
    <d v="2024-04-30T00:00:00"/>
    <d v="2026-01-18T14:57:01"/>
  </r>
  <r>
    <s v="TRX0193"/>
    <x v="4"/>
    <x v="0"/>
    <x v="0"/>
    <s v="Apr-2024"/>
    <s v="CUST024"/>
    <x v="5"/>
    <s v="DN"/>
    <x v="3"/>
    <x v="3"/>
    <x v="0"/>
    <n v="5"/>
    <n v="149.99"/>
    <s v="Credit Card"/>
    <x v="0"/>
    <s v="CE"/>
    <x v="2"/>
    <d v="2021-08-10T00:00:00"/>
    <n v="749.95"/>
    <d v="2026-01-20T00:00:00"/>
    <d v="2026-01-20T12:16:28"/>
    <n v="639"/>
    <d v="2024-04-30T00:00:00"/>
    <d v="2026-01-18T14:57:01"/>
  </r>
  <r>
    <s v="TRX0240"/>
    <x v="4"/>
    <x v="0"/>
    <x v="0"/>
    <s v="Apr-2024"/>
    <s v="CUST017"/>
    <x v="6"/>
    <s v="CA"/>
    <x v="1"/>
    <x v="1"/>
    <x v="1"/>
    <n v="3"/>
    <n v="59.99"/>
    <s v="Debit Card"/>
    <x v="1"/>
    <s v="SO"/>
    <x v="0"/>
    <d v="2023-03-22T00:00:00"/>
    <n v="179.97"/>
    <d v="2026-01-20T00:00:00"/>
    <d v="2026-01-20T12:16:28"/>
    <n v="639"/>
    <d v="2024-04-30T00:00:00"/>
    <d v="2026-01-18T14:57:01"/>
  </r>
  <r>
    <s v="TRX0135"/>
    <x v="5"/>
    <x v="0"/>
    <x v="0"/>
    <s v="Apr-2024"/>
    <s v="CUST009"/>
    <x v="7"/>
    <s v="RT"/>
    <x v="4"/>
    <x v="4"/>
    <x v="0"/>
    <n v="3"/>
    <n v="899.99"/>
    <s v="PayPal"/>
    <x v="4"/>
    <s v="EA"/>
    <x v="2"/>
    <d v="2024-01-08T00:00:00"/>
    <n v="2699.97"/>
    <d v="2026-01-20T00:00:00"/>
    <d v="2026-01-20T12:16:28"/>
    <n v="637"/>
    <d v="2024-04-30T00:00:00"/>
    <d v="2026-01-18T14:57:01"/>
  </r>
  <r>
    <s v="TRX0185"/>
    <x v="6"/>
    <x v="0"/>
    <x v="0"/>
    <s v="Apr-2024"/>
    <s v="CUST026"/>
    <x v="8"/>
    <s v="KH"/>
    <x v="1"/>
    <x v="1"/>
    <x v="1"/>
    <n v="3"/>
    <n v="59.99"/>
    <s v="Cash"/>
    <x v="3"/>
    <s v="WE"/>
    <x v="1"/>
    <d v="2023-10-08T00:00:00"/>
    <n v="179.97"/>
    <d v="2026-01-20T00:00:00"/>
    <d v="2026-01-20T12:16:28"/>
    <n v="634"/>
    <d v="2024-04-30T00:00:00"/>
    <d v="2026-01-18T14:57:01"/>
  </r>
  <r>
    <s v="TRX0138"/>
    <x v="6"/>
    <x v="0"/>
    <x v="0"/>
    <s v="Apr-2024"/>
    <s v="CUST022"/>
    <x v="9"/>
    <s v="SG"/>
    <x v="2"/>
    <x v="2"/>
    <x v="2"/>
    <n v="1"/>
    <n v="149.99"/>
    <s v="Credit Card"/>
    <x v="3"/>
    <s v="WE"/>
    <x v="2"/>
    <d v="2023-06-26T00:00:00"/>
    <n v="149.99"/>
    <d v="2026-01-20T00:00:00"/>
    <d v="2026-01-20T12:16:28"/>
    <n v="634"/>
    <d v="2024-04-30T00:00:00"/>
    <d v="2026-01-18T14:57:01"/>
  </r>
  <r>
    <s v="TRX0209"/>
    <x v="6"/>
    <x v="0"/>
    <x v="0"/>
    <s v="Apr-2024"/>
    <s v="CUST046"/>
    <x v="3"/>
    <s v="KB"/>
    <x v="2"/>
    <x v="2"/>
    <x v="2"/>
    <n v="5"/>
    <n v="149.99"/>
    <s v="Debit Card"/>
    <x v="2"/>
    <s v="NO"/>
    <x v="0"/>
    <d v="2022-09-26T00:00:00"/>
    <n v="749.95"/>
    <d v="2026-01-20T00:00:00"/>
    <d v="2026-01-20T12:16:28"/>
    <n v="634"/>
    <d v="2024-04-30T00:00:00"/>
    <d v="2026-01-18T14:57:01"/>
  </r>
  <r>
    <s v="TRX0246"/>
    <x v="6"/>
    <x v="0"/>
    <x v="0"/>
    <s v="Apr-2024"/>
    <s v="CUST041"/>
    <x v="10"/>
    <s v="PR"/>
    <x v="2"/>
    <x v="2"/>
    <x v="2"/>
    <n v="3"/>
    <n v="149.99"/>
    <s v="Cash"/>
    <x v="2"/>
    <s v="NO"/>
    <x v="1"/>
    <d v="2022-09-02T00:00:00"/>
    <n v="449.97"/>
    <d v="2026-01-20T00:00:00"/>
    <d v="2026-01-20T12:16:28"/>
    <n v="634"/>
    <d v="2024-04-30T00:00:00"/>
    <d v="2026-01-18T14:57:01"/>
  </r>
  <r>
    <s v="TRX0067"/>
    <x v="7"/>
    <x v="0"/>
    <x v="0"/>
    <s v="Apr-2024"/>
    <s v="CUST043"/>
    <x v="11"/>
    <s v="DG"/>
    <x v="1"/>
    <x v="1"/>
    <x v="1"/>
    <n v="3"/>
    <n v="59.99"/>
    <s v="Credit Card"/>
    <x v="2"/>
    <s v="NO"/>
    <x v="2"/>
    <d v="2024-02-29T00:00:00"/>
    <n v="179.97"/>
    <d v="2026-01-20T00:00:00"/>
    <d v="2026-01-20T12:16:28"/>
    <n v="633"/>
    <d v="2024-04-30T00:00:00"/>
    <d v="2026-01-18T14:57:01"/>
  </r>
  <r>
    <s v="TRX0191"/>
    <x v="7"/>
    <x v="0"/>
    <x v="0"/>
    <s v="Apr-2024"/>
    <s v="CUST038"/>
    <x v="12"/>
    <s v="MR"/>
    <x v="5"/>
    <x v="5"/>
    <x v="0"/>
    <n v="3"/>
    <n v="699.99"/>
    <s v="Credit Card"/>
    <x v="3"/>
    <s v="WE"/>
    <x v="0"/>
    <d v="2022-01-16T00:00:00"/>
    <n v="2099.9699999999998"/>
    <d v="2026-01-20T00:00:00"/>
    <d v="2026-01-20T12:16:28"/>
    <n v="633"/>
    <d v="2024-04-30T00:00:00"/>
    <d v="2026-01-18T14:57:01"/>
  </r>
  <r>
    <s v="TRX0230"/>
    <x v="7"/>
    <x v="0"/>
    <x v="0"/>
    <s v="Apr-2024"/>
    <s v="CUST027"/>
    <x v="13"/>
    <s v="GA"/>
    <x v="4"/>
    <x v="4"/>
    <x v="0"/>
    <n v="1"/>
    <n v="899.99"/>
    <s v="Debit Card"/>
    <x v="2"/>
    <s v="NO"/>
    <x v="2"/>
    <d v="2022-12-25T00:00:00"/>
    <n v="899.99"/>
    <d v="2026-01-20T00:00:00"/>
    <d v="2026-01-20T12:16:28"/>
    <n v="633"/>
    <d v="2024-04-30T00:00:00"/>
    <d v="2026-01-18T14:57:01"/>
  </r>
  <r>
    <s v="TRX0049"/>
    <x v="8"/>
    <x v="0"/>
    <x v="0"/>
    <s v="Apr-2024"/>
    <s v="CUST025"/>
    <x v="14"/>
    <s v="MC"/>
    <x v="2"/>
    <x v="2"/>
    <x v="2"/>
    <n v="4"/>
    <n v="149.99"/>
    <s v="Debit Card"/>
    <x v="2"/>
    <s v="NO"/>
    <x v="1"/>
    <d v="2024-03-23T00:00:00"/>
    <n v="599.96"/>
    <d v="2026-01-20T00:00:00"/>
    <d v="2026-01-20T12:16:28"/>
    <n v="632"/>
    <d v="2024-04-30T00:00:00"/>
    <d v="2026-01-18T14:57:01"/>
  </r>
  <r>
    <s v="TRX0134"/>
    <x v="8"/>
    <x v="0"/>
    <x v="0"/>
    <s v="Apr-2024"/>
    <s v="CUST010"/>
    <x v="15"/>
    <s v="MG"/>
    <x v="5"/>
    <x v="5"/>
    <x v="0"/>
    <n v="2"/>
    <n v="699.99"/>
    <s v="Cash"/>
    <x v="2"/>
    <s v="NO"/>
    <x v="0"/>
    <d v="2022-08-08T00:00:00"/>
    <n v="1399.98"/>
    <d v="2026-01-20T00:00:00"/>
    <d v="2026-01-20T12:16:28"/>
    <n v="632"/>
    <d v="2024-04-30T00:00:00"/>
    <d v="2026-01-18T14:57:01"/>
  </r>
  <r>
    <s v="TRX0122"/>
    <x v="8"/>
    <x v="0"/>
    <x v="0"/>
    <s v="Apr-2024"/>
    <s v="CUST025"/>
    <x v="14"/>
    <s v="MC"/>
    <x v="4"/>
    <x v="4"/>
    <x v="0"/>
    <n v="4"/>
    <n v="899.99"/>
    <s v="Credit Card"/>
    <x v="3"/>
    <s v="WE"/>
    <x v="2"/>
    <d v="2024-02-05T00:00:00"/>
    <n v="3599.96"/>
    <d v="2026-01-20T00:00:00"/>
    <d v="2026-01-20T12:16:28"/>
    <n v="632"/>
    <d v="2024-04-30T00:00:00"/>
    <d v="2026-01-18T14:57:01"/>
  </r>
  <r>
    <s v="TRX0222"/>
    <x v="8"/>
    <x v="0"/>
    <x v="0"/>
    <s v="Apr-2024"/>
    <s v="CUST048"/>
    <x v="16"/>
    <s v="VS"/>
    <x v="0"/>
    <x v="0"/>
    <x v="0"/>
    <n v="3"/>
    <n v="249.99"/>
    <s v="Credit Card"/>
    <x v="2"/>
    <s v="NO"/>
    <x v="1"/>
    <d v="2023-10-25T00:00:00"/>
    <n v="749.97"/>
    <d v="2026-01-20T00:00:00"/>
    <d v="2026-01-20T12:16:28"/>
    <n v="632"/>
    <d v="2024-04-30T00:00:00"/>
    <d v="2026-01-18T14:57:01"/>
  </r>
  <r>
    <s v="TRX0231"/>
    <x v="9"/>
    <x v="0"/>
    <x v="0"/>
    <s v="Apr-2024"/>
    <s v="CUST018"/>
    <x v="17"/>
    <s v="BY"/>
    <x v="5"/>
    <x v="5"/>
    <x v="0"/>
    <n v="5"/>
    <n v="699.99"/>
    <s v="Cash"/>
    <x v="3"/>
    <s v="WE"/>
    <x v="0"/>
    <d v="2023-08-29T00:00:00"/>
    <n v="3499.95"/>
    <d v="2026-01-20T00:00:00"/>
    <d v="2026-01-20T12:16:28"/>
    <n v="630"/>
    <d v="2024-04-30T00:00:00"/>
    <d v="2026-01-18T14:57:01"/>
  </r>
  <r>
    <s v="TRX0239"/>
    <x v="10"/>
    <x v="1"/>
    <x v="0"/>
    <s v="May-2024"/>
    <s v="CUST012"/>
    <x v="18"/>
    <s v="PM"/>
    <x v="5"/>
    <x v="5"/>
    <x v="0"/>
    <n v="4"/>
    <n v="699.99"/>
    <s v="Cash"/>
    <x v="4"/>
    <s v="EA"/>
    <x v="2"/>
    <d v="2021-08-01T00:00:00"/>
    <n v="2799.96"/>
    <d v="2026-01-20T00:00:00"/>
    <d v="2026-01-20T12:16:28"/>
    <n v="629"/>
    <d v="2024-05-31T00:00:00"/>
    <d v="2026-01-18T14:57:01"/>
  </r>
  <r>
    <s v="TRX0204"/>
    <x v="11"/>
    <x v="1"/>
    <x v="0"/>
    <s v="May-2024"/>
    <s v="CUST044"/>
    <x v="19"/>
    <s v="CP"/>
    <x v="0"/>
    <x v="0"/>
    <x v="0"/>
    <n v="4"/>
    <n v="249.99"/>
    <s v="PayPal"/>
    <x v="2"/>
    <s v="NO"/>
    <x v="2"/>
    <d v="2021-09-29T00:00:00"/>
    <n v="999.96"/>
    <d v="2026-01-20T00:00:00"/>
    <d v="2026-01-20T12:16:28"/>
    <n v="627"/>
    <d v="2024-05-31T00:00:00"/>
    <d v="2026-01-18T14:57:01"/>
  </r>
  <r>
    <s v="TRX0242"/>
    <x v="12"/>
    <x v="1"/>
    <x v="0"/>
    <s v="May-2024"/>
    <s v="CUST025"/>
    <x v="14"/>
    <s v="MC"/>
    <x v="6"/>
    <x v="6"/>
    <x v="2"/>
    <n v="4"/>
    <n v="299.99"/>
    <s v="Cash"/>
    <x v="3"/>
    <s v="WE"/>
    <x v="1"/>
    <d v="2022-06-04T00:00:00"/>
    <n v="1199.96"/>
    <d v="2026-01-20T00:00:00"/>
    <d v="2026-01-20T12:16:28"/>
    <n v="626"/>
    <d v="2024-05-31T00:00:00"/>
    <d v="2026-01-18T14:57:01"/>
  </r>
  <r>
    <s v="TRX0071"/>
    <x v="13"/>
    <x v="1"/>
    <x v="0"/>
    <s v="May-2024"/>
    <s v="CUST036"/>
    <x v="20"/>
    <s v="NC"/>
    <x v="0"/>
    <x v="0"/>
    <x v="0"/>
    <n v="5"/>
    <n v="249.99"/>
    <s v="Credit Card"/>
    <x v="3"/>
    <s v="WE"/>
    <x v="2"/>
    <d v="2021-11-25T00:00:00"/>
    <n v="1249.95"/>
    <d v="2026-01-20T00:00:00"/>
    <d v="2026-01-20T12:16:28"/>
    <n v="620"/>
    <d v="2024-05-31T00:00:00"/>
    <d v="2026-01-18T14:57:01"/>
  </r>
  <r>
    <s v="TRX0040"/>
    <x v="14"/>
    <x v="1"/>
    <x v="0"/>
    <s v="May-2024"/>
    <s v="CUST022"/>
    <x v="9"/>
    <s v="SG"/>
    <x v="6"/>
    <x v="6"/>
    <x v="2"/>
    <n v="5"/>
    <n v="299.99"/>
    <s v="PayPal"/>
    <x v="4"/>
    <s v="EA"/>
    <x v="0"/>
    <d v="2023-08-30T00:00:00"/>
    <n v="1499.95"/>
    <d v="2026-01-20T00:00:00"/>
    <d v="2026-01-20T12:16:28"/>
    <n v="618"/>
    <d v="2024-05-31T00:00:00"/>
    <d v="2026-01-18T14:57:01"/>
  </r>
  <r>
    <s v="TRX0235"/>
    <x v="14"/>
    <x v="1"/>
    <x v="0"/>
    <s v="May-2024"/>
    <s v="CUST014"/>
    <x v="21"/>
    <s v="LM"/>
    <x v="7"/>
    <x v="7"/>
    <x v="1"/>
    <n v="3"/>
    <n v="79.989999999999995"/>
    <s v="PayPal"/>
    <x v="4"/>
    <s v="EA"/>
    <x v="1"/>
    <d v="2023-03-27T00:00:00"/>
    <n v="239.97"/>
    <d v="2026-01-20T00:00:00"/>
    <d v="2026-01-20T12:16:28"/>
    <n v="618"/>
    <d v="2024-05-31T00:00:00"/>
    <d v="2026-01-18T14:57:01"/>
  </r>
  <r>
    <s v="TRX0004"/>
    <x v="14"/>
    <x v="1"/>
    <x v="0"/>
    <s v="May-2024"/>
    <s v="CUST012"/>
    <x v="18"/>
    <s v="PM"/>
    <x v="8"/>
    <x v="8"/>
    <x v="0"/>
    <n v="5"/>
    <n v="89.99"/>
    <s v="Cash"/>
    <x v="2"/>
    <s v="NO"/>
    <x v="1"/>
    <d v="2022-12-24T00:00:00"/>
    <n v="449.95"/>
    <d v="2026-01-20T00:00:00"/>
    <d v="2026-01-20T12:16:28"/>
    <n v="618"/>
    <d v="2024-05-31T00:00:00"/>
    <d v="2026-01-18T14:57:01"/>
  </r>
  <r>
    <s v="TRX0063"/>
    <x v="15"/>
    <x v="1"/>
    <x v="0"/>
    <s v="May-2024"/>
    <s v="CUST030"/>
    <x v="22"/>
    <s v="HR"/>
    <x v="1"/>
    <x v="1"/>
    <x v="1"/>
    <n v="2"/>
    <n v="59.99"/>
    <s v="Debit Card"/>
    <x v="0"/>
    <s v="CE"/>
    <x v="2"/>
    <d v="2023-10-15T00:00:00"/>
    <n v="119.98"/>
    <d v="2026-01-20T00:00:00"/>
    <d v="2026-01-20T12:16:28"/>
    <n v="617"/>
    <d v="2024-05-31T00:00:00"/>
    <d v="2026-01-18T14:57:01"/>
  </r>
  <r>
    <s v="TRX0241"/>
    <x v="16"/>
    <x v="1"/>
    <x v="0"/>
    <s v="May-2024"/>
    <s v="CUST029"/>
    <x v="23"/>
    <s v="EM"/>
    <x v="1"/>
    <x v="1"/>
    <x v="1"/>
    <n v="4"/>
    <n v="59.99"/>
    <s v="Debit Card"/>
    <x v="4"/>
    <s v="EA"/>
    <x v="2"/>
    <d v="2022-11-02T00:00:00"/>
    <n v="239.96"/>
    <d v="2026-01-20T00:00:00"/>
    <d v="2026-01-20T12:16:28"/>
    <n v="615"/>
    <d v="2024-05-31T00:00:00"/>
    <d v="2026-01-18T14:57:01"/>
  </r>
  <r>
    <s v="TRX0029"/>
    <x v="16"/>
    <x v="1"/>
    <x v="0"/>
    <s v="May-2024"/>
    <s v="CUST017"/>
    <x v="6"/>
    <s v="CA"/>
    <x v="9"/>
    <x v="9"/>
    <x v="2"/>
    <n v="5"/>
    <n v="199.99"/>
    <s v="Cash"/>
    <x v="1"/>
    <s v="SO"/>
    <x v="2"/>
    <d v="2021-08-04T00:00:00"/>
    <n v="999.95"/>
    <d v="2026-01-20T00:00:00"/>
    <d v="2026-01-20T12:16:28"/>
    <n v="615"/>
    <d v="2024-05-31T00:00:00"/>
    <d v="2026-01-18T14:57:01"/>
  </r>
  <r>
    <s v="TRX0194"/>
    <x v="17"/>
    <x v="1"/>
    <x v="0"/>
    <s v="May-2024"/>
    <s v="CUST006"/>
    <x v="24"/>
    <s v="LA"/>
    <x v="2"/>
    <x v="2"/>
    <x v="2"/>
    <n v="2"/>
    <n v="149.99"/>
    <s v="Credit Card"/>
    <x v="3"/>
    <s v="WE"/>
    <x v="0"/>
    <d v="2022-09-19T00:00:00"/>
    <n v="299.98"/>
    <d v="2026-01-20T00:00:00"/>
    <d v="2026-01-20T12:16:28"/>
    <n v="614"/>
    <d v="2024-05-31T00:00:00"/>
    <d v="2026-01-18T14:57:01"/>
  </r>
  <r>
    <s v="TRX0130"/>
    <x v="18"/>
    <x v="1"/>
    <x v="0"/>
    <s v="May-2024"/>
    <s v="CUST002"/>
    <x v="25"/>
    <s v="EW"/>
    <x v="2"/>
    <x v="2"/>
    <x v="2"/>
    <n v="3"/>
    <n v="149.99"/>
    <s v="Credit Card"/>
    <x v="3"/>
    <s v="WE"/>
    <x v="1"/>
    <d v="2023-05-22T00:00:00"/>
    <n v="449.97"/>
    <d v="2026-01-20T00:00:00"/>
    <d v="2026-01-20T12:16:28"/>
    <n v="612"/>
    <d v="2024-05-31T00:00:00"/>
    <d v="2026-01-18T14:57:01"/>
  </r>
  <r>
    <s v="TRX0041"/>
    <x v="19"/>
    <x v="1"/>
    <x v="0"/>
    <s v="May-2024"/>
    <s v="CUST021"/>
    <x v="2"/>
    <s v="KS"/>
    <x v="4"/>
    <x v="4"/>
    <x v="0"/>
    <n v="1"/>
    <n v="899.99"/>
    <s v="Credit Card"/>
    <x v="3"/>
    <s v="WE"/>
    <x v="1"/>
    <d v="2022-01-17T00:00:00"/>
    <n v="899.99"/>
    <d v="2026-01-20T00:00:00"/>
    <d v="2026-01-20T12:16:28"/>
    <n v="610"/>
    <d v="2024-05-31T00:00:00"/>
    <d v="2026-01-18T14:57:01"/>
  </r>
  <r>
    <s v="TRX0232"/>
    <x v="20"/>
    <x v="1"/>
    <x v="0"/>
    <s v="May-2024"/>
    <s v="CUST012"/>
    <x v="18"/>
    <s v="PM"/>
    <x v="6"/>
    <x v="6"/>
    <x v="2"/>
    <n v="3"/>
    <n v="299.99"/>
    <s v="Credit Card"/>
    <x v="4"/>
    <s v="EA"/>
    <x v="0"/>
    <d v="2022-09-20T00:00:00"/>
    <n v="899.97"/>
    <d v="2026-01-20T00:00:00"/>
    <d v="2026-01-20T12:16:28"/>
    <n v="608"/>
    <d v="2024-05-31T00:00:00"/>
    <d v="2026-01-18T14:57:01"/>
  </r>
  <r>
    <s v="TRX0021"/>
    <x v="21"/>
    <x v="1"/>
    <x v="0"/>
    <s v="May-2024"/>
    <s v="CUST006"/>
    <x v="24"/>
    <s v="LA"/>
    <x v="7"/>
    <x v="7"/>
    <x v="1"/>
    <n v="3"/>
    <n v="79.989999999999995"/>
    <s v="Cash"/>
    <x v="1"/>
    <s v="SO"/>
    <x v="0"/>
    <d v="2023-04-30T00:00:00"/>
    <n v="239.97"/>
    <d v="2026-01-20T00:00:00"/>
    <d v="2026-01-20T12:16:28"/>
    <n v="607"/>
    <d v="2024-05-31T00:00:00"/>
    <d v="2026-01-18T14:57:01"/>
  </r>
  <r>
    <s v="TRX0245"/>
    <x v="22"/>
    <x v="1"/>
    <x v="0"/>
    <s v="May-2024"/>
    <s v="CUST031"/>
    <x v="26"/>
    <s v="ST"/>
    <x v="9"/>
    <x v="9"/>
    <x v="2"/>
    <n v="3"/>
    <n v="199.99"/>
    <s v="Credit Card"/>
    <x v="2"/>
    <s v="NO"/>
    <x v="1"/>
    <d v="2024-01-01T00:00:00"/>
    <n v="599.97"/>
    <d v="2026-01-20T00:00:00"/>
    <d v="2026-01-20T12:16:28"/>
    <n v="604"/>
    <d v="2024-05-31T00:00:00"/>
    <d v="2026-01-18T14:57:01"/>
  </r>
  <r>
    <s v="TRX0015"/>
    <x v="23"/>
    <x v="1"/>
    <x v="0"/>
    <s v="May-2024"/>
    <s v="CUST008"/>
    <x v="27"/>
    <s v="JT"/>
    <x v="5"/>
    <x v="5"/>
    <x v="0"/>
    <n v="5"/>
    <n v="699.99"/>
    <s v="PayPal"/>
    <x v="3"/>
    <s v="WE"/>
    <x v="2"/>
    <d v="2021-07-30T00:00:00"/>
    <n v="3499.95"/>
    <d v="2026-01-20T00:00:00"/>
    <d v="2026-01-20T12:16:28"/>
    <n v="602"/>
    <d v="2024-05-31T00:00:00"/>
    <d v="2026-01-18T14:57:01"/>
  </r>
  <r>
    <s v="TRX0202"/>
    <x v="24"/>
    <x v="1"/>
    <x v="0"/>
    <s v="May-2024"/>
    <s v="CUST035"/>
    <x v="28"/>
    <s v="HM"/>
    <x v="8"/>
    <x v="8"/>
    <x v="0"/>
    <n v="3"/>
    <n v="89.99"/>
    <s v="PayPal"/>
    <x v="0"/>
    <s v="CE"/>
    <x v="1"/>
    <d v="2023-07-13T00:00:00"/>
    <n v="269.97000000000003"/>
    <d v="2026-01-20T00:00:00"/>
    <d v="2026-01-20T12:16:28"/>
    <n v="601"/>
    <d v="2024-05-31T00:00:00"/>
    <d v="2026-01-18T14:57:01"/>
  </r>
  <r>
    <s v="TRX0042"/>
    <x v="25"/>
    <x v="1"/>
    <x v="0"/>
    <s v="May-2024"/>
    <s v="CUST019"/>
    <x v="29"/>
    <s v="DK"/>
    <x v="7"/>
    <x v="7"/>
    <x v="1"/>
    <n v="1"/>
    <n v="79.989999999999995"/>
    <s v="Cash"/>
    <x v="2"/>
    <s v="NO"/>
    <x v="2"/>
    <d v="2022-12-22T00:00:00"/>
    <n v="79.989999999999995"/>
    <d v="2026-01-20T00:00:00"/>
    <d v="2026-01-20T12:16:28"/>
    <n v="599"/>
    <d v="2024-05-31T00:00:00"/>
    <d v="2026-01-18T14:57:01"/>
  </r>
  <r>
    <s v="TRX0128"/>
    <x v="26"/>
    <x v="2"/>
    <x v="0"/>
    <s v="Jun-2024"/>
    <s v="CUST040"/>
    <x v="30"/>
    <s v="SB"/>
    <x v="1"/>
    <x v="1"/>
    <x v="1"/>
    <n v="2"/>
    <n v="59.99"/>
    <s v="Cash"/>
    <x v="3"/>
    <s v="WE"/>
    <x v="0"/>
    <d v="2024-04-08T00:00:00"/>
    <n v="119.98"/>
    <d v="2026-01-20T00:00:00"/>
    <d v="2026-01-20T12:16:28"/>
    <n v="598"/>
    <d v="2024-06-30T00:00:00"/>
    <d v="2026-01-18T14:57:01"/>
  </r>
  <r>
    <s v="TRX0117"/>
    <x v="26"/>
    <x v="2"/>
    <x v="0"/>
    <s v="Jun-2024"/>
    <s v="CUST017"/>
    <x v="6"/>
    <s v="CA"/>
    <x v="8"/>
    <x v="8"/>
    <x v="0"/>
    <n v="1"/>
    <n v="89.99"/>
    <s v="Cash"/>
    <x v="2"/>
    <s v="NO"/>
    <x v="0"/>
    <d v="2023-08-03T00:00:00"/>
    <n v="89.99"/>
    <d v="2026-01-20T00:00:00"/>
    <d v="2026-01-20T12:16:28"/>
    <n v="598"/>
    <d v="2024-06-30T00:00:00"/>
    <d v="2026-01-18T14:57:01"/>
  </r>
  <r>
    <s v="TRX0208"/>
    <x v="27"/>
    <x v="2"/>
    <x v="0"/>
    <s v="Jun-2024"/>
    <s v="CUST004"/>
    <x v="31"/>
    <s v="SD"/>
    <x v="8"/>
    <x v="8"/>
    <x v="0"/>
    <n v="5"/>
    <n v="89.99"/>
    <s v="Credit Card"/>
    <x v="4"/>
    <s v="EA"/>
    <x v="2"/>
    <d v="2022-01-26T00:00:00"/>
    <n v="449.95"/>
    <d v="2026-01-20T00:00:00"/>
    <d v="2026-01-20T12:16:28"/>
    <n v="596"/>
    <d v="2024-06-30T00:00:00"/>
    <d v="2026-01-18T14:57:01"/>
  </r>
  <r>
    <s v="TRX0234"/>
    <x v="28"/>
    <x v="2"/>
    <x v="0"/>
    <s v="Jun-2024"/>
    <s v="CUST013"/>
    <x v="1"/>
    <s v="JJ"/>
    <x v="0"/>
    <x v="0"/>
    <x v="0"/>
    <n v="5"/>
    <n v="249.99"/>
    <s v="Credit Card"/>
    <x v="4"/>
    <s v="EA"/>
    <x v="2"/>
    <d v="2022-05-26T00:00:00"/>
    <n v="1249.95"/>
    <d v="2026-01-20T00:00:00"/>
    <d v="2026-01-20T12:16:28"/>
    <n v="593"/>
    <d v="2024-06-30T00:00:00"/>
    <d v="2026-01-18T14:57:01"/>
  </r>
  <r>
    <s v="TRX0121"/>
    <x v="28"/>
    <x v="2"/>
    <x v="0"/>
    <s v="Jun-2024"/>
    <s v="CUST028"/>
    <x v="32"/>
    <s v="BC"/>
    <x v="8"/>
    <x v="8"/>
    <x v="0"/>
    <n v="1"/>
    <n v="89.99"/>
    <s v="Credit Card"/>
    <x v="1"/>
    <s v="SO"/>
    <x v="2"/>
    <d v="2022-01-21T00:00:00"/>
    <n v="89.99"/>
    <d v="2026-01-20T00:00:00"/>
    <d v="2026-01-20T12:16:28"/>
    <n v="593"/>
    <d v="2024-06-30T00:00:00"/>
    <d v="2026-01-18T14:57:01"/>
  </r>
  <r>
    <s v="TRX0220"/>
    <x v="29"/>
    <x v="2"/>
    <x v="0"/>
    <s v="Jun-2024"/>
    <s v="CUST003"/>
    <x v="4"/>
    <s v="MB"/>
    <x v="2"/>
    <x v="2"/>
    <x v="2"/>
    <n v="2"/>
    <n v="149.99"/>
    <s v="Cash"/>
    <x v="4"/>
    <s v="EA"/>
    <x v="1"/>
    <d v="2022-03-25T00:00:00"/>
    <n v="299.98"/>
    <d v="2026-01-20T00:00:00"/>
    <d v="2026-01-20T12:16:28"/>
    <n v="592"/>
    <d v="2024-06-30T00:00:00"/>
    <d v="2026-01-18T14:57:01"/>
  </r>
  <r>
    <s v="TRX0093"/>
    <x v="30"/>
    <x v="2"/>
    <x v="0"/>
    <s v="Jun-2024"/>
    <s v="CUST050"/>
    <x v="33"/>
    <s v="JF"/>
    <x v="1"/>
    <x v="1"/>
    <x v="1"/>
    <n v="4"/>
    <n v="59.99"/>
    <s v="Cash"/>
    <x v="4"/>
    <s v="EA"/>
    <x v="2"/>
    <d v="2021-08-27T00:00:00"/>
    <n v="239.96"/>
    <d v="2026-01-20T00:00:00"/>
    <d v="2026-01-20T12:16:28"/>
    <n v="590"/>
    <d v="2024-06-30T00:00:00"/>
    <d v="2026-01-18T14:57:01"/>
  </r>
  <r>
    <s v="TRX0088"/>
    <x v="31"/>
    <x v="2"/>
    <x v="0"/>
    <s v="Jun-2024"/>
    <s v="CUST006"/>
    <x v="24"/>
    <s v="LA"/>
    <x v="8"/>
    <x v="8"/>
    <x v="0"/>
    <n v="5"/>
    <n v="89.99"/>
    <s v="Cash"/>
    <x v="0"/>
    <s v="CE"/>
    <x v="1"/>
    <d v="2022-01-18T00:00:00"/>
    <n v="449.95"/>
    <d v="2026-01-20T00:00:00"/>
    <d v="2026-01-20T12:16:28"/>
    <n v="586"/>
    <d v="2024-06-30T00:00:00"/>
    <d v="2026-01-18T14:57:01"/>
  </r>
  <r>
    <s v="TRX0115"/>
    <x v="32"/>
    <x v="2"/>
    <x v="0"/>
    <s v="Jun-2024"/>
    <s v="CUST012"/>
    <x v="18"/>
    <s v="PM"/>
    <x v="8"/>
    <x v="8"/>
    <x v="0"/>
    <n v="2"/>
    <n v="89.99"/>
    <s v="Credit Card"/>
    <x v="1"/>
    <s v="SO"/>
    <x v="1"/>
    <d v="2021-10-02T00:00:00"/>
    <n v="179.98"/>
    <d v="2026-01-20T00:00:00"/>
    <d v="2026-01-20T12:16:28"/>
    <n v="583"/>
    <d v="2024-06-30T00:00:00"/>
    <d v="2026-01-18T14:57:01"/>
  </r>
  <r>
    <s v="TRX0154"/>
    <x v="32"/>
    <x v="2"/>
    <x v="0"/>
    <s v="Jun-2024"/>
    <s v="CUST023"/>
    <x v="0"/>
    <s v="PB"/>
    <x v="4"/>
    <x v="4"/>
    <x v="0"/>
    <n v="5"/>
    <n v="899.99"/>
    <s v="Credit Card"/>
    <x v="1"/>
    <s v="SO"/>
    <x v="2"/>
    <d v="2023-02-17T00:00:00"/>
    <n v="4499.95"/>
    <d v="2026-01-20T00:00:00"/>
    <d v="2026-01-20T12:16:28"/>
    <n v="583"/>
    <d v="2024-06-30T00:00:00"/>
    <d v="2026-01-18T14:57:01"/>
  </r>
  <r>
    <s v="TRX0044"/>
    <x v="32"/>
    <x v="2"/>
    <x v="0"/>
    <s v="Jun-2024"/>
    <s v="CUST029"/>
    <x v="23"/>
    <s v="EM"/>
    <x v="4"/>
    <x v="4"/>
    <x v="0"/>
    <n v="5"/>
    <n v="899.99"/>
    <s v="PayPal"/>
    <x v="4"/>
    <s v="EA"/>
    <x v="1"/>
    <d v="2023-12-18T00:00:00"/>
    <n v="4499.95"/>
    <d v="2026-01-20T00:00:00"/>
    <d v="2026-01-20T12:16:28"/>
    <n v="583"/>
    <d v="2024-06-30T00:00:00"/>
    <d v="2026-01-18T14:57:01"/>
  </r>
  <r>
    <s v="TRX0061"/>
    <x v="33"/>
    <x v="2"/>
    <x v="0"/>
    <s v="Jun-2024"/>
    <s v="CUST028"/>
    <x v="32"/>
    <s v="BC"/>
    <x v="1"/>
    <x v="1"/>
    <x v="1"/>
    <n v="1"/>
    <n v="59.99"/>
    <s v="Debit Card"/>
    <x v="3"/>
    <s v="WE"/>
    <x v="1"/>
    <d v="2023-09-21T00:00:00"/>
    <n v="59.99"/>
    <d v="2026-01-20T00:00:00"/>
    <d v="2026-01-20T12:16:28"/>
    <n v="582"/>
    <d v="2024-06-30T00:00:00"/>
    <d v="2026-01-18T14:57:01"/>
  </r>
  <r>
    <s v="TRX0150"/>
    <x v="33"/>
    <x v="2"/>
    <x v="0"/>
    <s v="Jun-2024"/>
    <s v="CUST008"/>
    <x v="27"/>
    <s v="JT"/>
    <x v="6"/>
    <x v="6"/>
    <x v="2"/>
    <n v="2"/>
    <n v="299.99"/>
    <s v="Debit Card"/>
    <x v="4"/>
    <s v="EA"/>
    <x v="2"/>
    <d v="2023-11-23T00:00:00"/>
    <n v="599.98"/>
    <d v="2026-01-20T00:00:00"/>
    <d v="2026-01-20T12:16:28"/>
    <n v="582"/>
    <d v="2024-06-30T00:00:00"/>
    <d v="2026-01-18T14:57:01"/>
  </r>
  <r>
    <s v="TRX0025"/>
    <x v="34"/>
    <x v="2"/>
    <x v="0"/>
    <s v="Jun-2024"/>
    <s v="CUST049"/>
    <x v="34"/>
    <s v="RR"/>
    <x v="8"/>
    <x v="8"/>
    <x v="0"/>
    <n v="4"/>
    <n v="89.99"/>
    <s v="Debit Card"/>
    <x v="1"/>
    <s v="SO"/>
    <x v="0"/>
    <d v="2023-12-21T00:00:00"/>
    <n v="359.96"/>
    <d v="2026-01-20T00:00:00"/>
    <d v="2026-01-20T12:16:28"/>
    <n v="574"/>
    <d v="2024-06-30T00:00:00"/>
    <d v="2026-01-18T14:57:01"/>
  </r>
  <r>
    <s v="TRX0078"/>
    <x v="35"/>
    <x v="2"/>
    <x v="0"/>
    <s v="Jun-2024"/>
    <s v="CUST021"/>
    <x v="2"/>
    <s v="KS"/>
    <x v="7"/>
    <x v="7"/>
    <x v="1"/>
    <n v="1"/>
    <n v="79.989999999999995"/>
    <s v="PayPal"/>
    <x v="0"/>
    <s v="CE"/>
    <x v="1"/>
    <d v="2024-03-01T00:00:00"/>
    <n v="79.989999999999995"/>
    <d v="2026-01-20T00:00:00"/>
    <d v="2026-01-20T12:16:28"/>
    <n v="573"/>
    <d v="2024-06-30T00:00:00"/>
    <d v="2026-01-18T14:57:01"/>
  </r>
  <r>
    <s v="TRX0007"/>
    <x v="35"/>
    <x v="2"/>
    <x v="0"/>
    <s v="Jun-2024"/>
    <s v="CUST009"/>
    <x v="7"/>
    <s v="RT"/>
    <x v="8"/>
    <x v="8"/>
    <x v="0"/>
    <n v="2"/>
    <n v="89.99"/>
    <s v="Cash"/>
    <x v="3"/>
    <s v="WE"/>
    <x v="0"/>
    <d v="2021-08-30T00:00:00"/>
    <n v="179.98"/>
    <d v="2026-01-20T00:00:00"/>
    <d v="2026-01-20T12:16:28"/>
    <n v="573"/>
    <d v="2024-06-30T00:00:00"/>
    <d v="2026-01-18T14:57:01"/>
  </r>
  <r>
    <s v="TRX0184"/>
    <x v="36"/>
    <x v="2"/>
    <x v="0"/>
    <s v="Jun-2024"/>
    <s v="CUST046"/>
    <x v="3"/>
    <s v="KB"/>
    <x v="5"/>
    <x v="5"/>
    <x v="0"/>
    <n v="3"/>
    <n v="699.99"/>
    <s v="Credit Card"/>
    <x v="4"/>
    <s v="EA"/>
    <x v="1"/>
    <d v="2023-06-25T00:00:00"/>
    <n v="2099.9699999999998"/>
    <d v="2026-01-20T00:00:00"/>
    <d v="2026-01-20T12:16:28"/>
    <n v="571"/>
    <d v="2024-06-30T00:00:00"/>
    <d v="2026-01-18T14:57:01"/>
  </r>
  <r>
    <s v="TRX0104"/>
    <x v="36"/>
    <x v="2"/>
    <x v="0"/>
    <s v="Jun-2024"/>
    <s v="CUST012"/>
    <x v="18"/>
    <s v="PM"/>
    <x v="4"/>
    <x v="4"/>
    <x v="0"/>
    <n v="4"/>
    <n v="899.99"/>
    <s v="Credit Card"/>
    <x v="4"/>
    <s v="EA"/>
    <x v="1"/>
    <d v="2023-03-08T00:00:00"/>
    <n v="3599.96"/>
    <d v="2026-01-20T00:00:00"/>
    <d v="2026-01-20T12:16:28"/>
    <n v="571"/>
    <d v="2024-06-30T00:00:00"/>
    <d v="2026-01-18T14:57:01"/>
  </r>
  <r>
    <s v="TRX0127"/>
    <x v="37"/>
    <x v="2"/>
    <x v="0"/>
    <s v="Jun-2024"/>
    <s v="CUST030"/>
    <x v="22"/>
    <s v="HR"/>
    <x v="2"/>
    <x v="2"/>
    <x v="2"/>
    <n v="1"/>
    <n v="149.99"/>
    <s v="PayPal"/>
    <x v="4"/>
    <s v="EA"/>
    <x v="0"/>
    <d v="2022-10-17T00:00:00"/>
    <n v="149.99"/>
    <d v="2026-01-20T00:00:00"/>
    <d v="2026-01-20T12:16:28"/>
    <n v="570"/>
    <d v="2024-06-30T00:00:00"/>
    <d v="2026-01-18T14:57:01"/>
  </r>
  <r>
    <s v="TRX0096"/>
    <x v="38"/>
    <x v="3"/>
    <x v="0"/>
    <s v="Jul-2024"/>
    <s v="CUST002"/>
    <x v="25"/>
    <s v="EW"/>
    <x v="8"/>
    <x v="8"/>
    <x v="0"/>
    <n v="2"/>
    <n v="89.99"/>
    <s v="PayPal"/>
    <x v="0"/>
    <s v="CE"/>
    <x v="1"/>
    <d v="2023-12-15T00:00:00"/>
    <n v="179.98"/>
    <d v="2026-01-20T00:00:00"/>
    <d v="2026-01-20T12:16:28"/>
    <n v="568"/>
    <d v="2024-07-31T00:00:00"/>
    <d v="2026-01-18T14:57:01"/>
  </r>
  <r>
    <s v="TRX0192"/>
    <x v="39"/>
    <x v="3"/>
    <x v="0"/>
    <s v="Jul-2024"/>
    <s v="CUST017"/>
    <x v="6"/>
    <s v="CA"/>
    <x v="8"/>
    <x v="8"/>
    <x v="0"/>
    <n v="1"/>
    <n v="89.99"/>
    <s v="PayPal"/>
    <x v="3"/>
    <s v="WE"/>
    <x v="2"/>
    <d v="2022-08-29T00:00:00"/>
    <n v="89.99"/>
    <d v="2026-01-20T00:00:00"/>
    <d v="2026-01-20T12:16:28"/>
    <n v="567"/>
    <d v="2024-07-31T00:00:00"/>
    <d v="2026-01-18T14:57:01"/>
  </r>
  <r>
    <s v="TRX0052"/>
    <x v="40"/>
    <x v="3"/>
    <x v="0"/>
    <s v="Jul-2024"/>
    <s v="CUST022"/>
    <x v="9"/>
    <s v="SG"/>
    <x v="8"/>
    <x v="8"/>
    <x v="0"/>
    <n v="1"/>
    <n v="89.99"/>
    <s v="Cash"/>
    <x v="1"/>
    <s v="SO"/>
    <x v="2"/>
    <d v="2022-02-19T00:00:00"/>
    <n v="89.99"/>
    <d v="2026-01-20T00:00:00"/>
    <d v="2026-01-20T12:16:28"/>
    <n v="566"/>
    <d v="2024-07-31T00:00:00"/>
    <d v="2026-01-18T14:57:01"/>
  </r>
  <r>
    <s v="TRX0070"/>
    <x v="40"/>
    <x v="3"/>
    <x v="0"/>
    <s v="Jul-2024"/>
    <s v="CUST007"/>
    <x v="35"/>
    <s v="DM"/>
    <x v="7"/>
    <x v="7"/>
    <x v="1"/>
    <n v="5"/>
    <n v="79.989999999999995"/>
    <s v="Debit Card"/>
    <x v="0"/>
    <s v="CE"/>
    <x v="0"/>
    <d v="2023-02-24T00:00:00"/>
    <n v="399.95"/>
    <d v="2026-01-20T00:00:00"/>
    <d v="2026-01-20T12:16:28"/>
    <n v="566"/>
    <d v="2024-07-31T00:00:00"/>
    <d v="2026-01-18T14:57:01"/>
  </r>
  <r>
    <s v="TRX0086"/>
    <x v="41"/>
    <x v="3"/>
    <x v="0"/>
    <s v="Jul-2024"/>
    <s v="CUST020"/>
    <x v="36"/>
    <s v="MW"/>
    <x v="2"/>
    <x v="2"/>
    <x v="2"/>
    <n v="1"/>
    <n v="149.99"/>
    <s v="PayPal"/>
    <x v="2"/>
    <s v="NO"/>
    <x v="0"/>
    <d v="2021-08-13T00:00:00"/>
    <n v="149.99"/>
    <d v="2026-01-20T00:00:00"/>
    <d v="2026-01-20T12:16:28"/>
    <n v="561"/>
    <d v="2024-07-31T00:00:00"/>
    <d v="2026-01-18T14:57:01"/>
  </r>
  <r>
    <s v="TRX0113"/>
    <x v="41"/>
    <x v="3"/>
    <x v="0"/>
    <s v="Jul-2024"/>
    <s v="CUST003"/>
    <x v="4"/>
    <s v="MB"/>
    <x v="5"/>
    <x v="5"/>
    <x v="0"/>
    <n v="2"/>
    <n v="699.99"/>
    <s v="PayPal"/>
    <x v="4"/>
    <s v="EA"/>
    <x v="1"/>
    <d v="2024-04-07T00:00:00"/>
    <n v="1399.98"/>
    <d v="2026-01-20T00:00:00"/>
    <d v="2026-01-20T12:16:28"/>
    <n v="561"/>
    <d v="2024-07-31T00:00:00"/>
    <d v="2026-01-18T14:57:01"/>
  </r>
  <r>
    <s v="TRX0114"/>
    <x v="41"/>
    <x v="3"/>
    <x v="0"/>
    <s v="Jul-2024"/>
    <s v="CUST018"/>
    <x v="17"/>
    <s v="BY"/>
    <x v="8"/>
    <x v="8"/>
    <x v="0"/>
    <n v="5"/>
    <n v="89.99"/>
    <s v="Debit Card"/>
    <x v="2"/>
    <s v="NO"/>
    <x v="1"/>
    <d v="2023-08-23T00:00:00"/>
    <n v="449.95"/>
    <d v="2026-01-20T00:00:00"/>
    <d v="2026-01-20T12:16:28"/>
    <n v="561"/>
    <d v="2024-07-31T00:00:00"/>
    <d v="2026-01-18T14:57:01"/>
  </r>
  <r>
    <s v="TRX0136"/>
    <x v="42"/>
    <x v="3"/>
    <x v="0"/>
    <s v="Jul-2024"/>
    <s v="CUST049"/>
    <x v="34"/>
    <s v="RR"/>
    <x v="1"/>
    <x v="1"/>
    <x v="1"/>
    <n v="4"/>
    <n v="59.99"/>
    <s v="Cash"/>
    <x v="1"/>
    <s v="SO"/>
    <x v="2"/>
    <d v="2021-11-09T00:00:00"/>
    <n v="239.96"/>
    <d v="2026-01-20T00:00:00"/>
    <d v="2026-01-20T12:16:28"/>
    <n v="560"/>
    <d v="2024-07-31T00:00:00"/>
    <d v="2026-01-18T14:57:01"/>
  </r>
  <r>
    <s v="TRX0018"/>
    <x v="43"/>
    <x v="3"/>
    <x v="0"/>
    <s v="Jul-2024"/>
    <s v="CUST013"/>
    <x v="1"/>
    <s v="JJ"/>
    <x v="3"/>
    <x v="3"/>
    <x v="0"/>
    <n v="1"/>
    <n v="149.99"/>
    <s v="Cash"/>
    <x v="0"/>
    <s v="CE"/>
    <x v="2"/>
    <d v="2022-12-14T00:00:00"/>
    <n v="149.99"/>
    <d v="2026-01-20T00:00:00"/>
    <d v="2026-01-20T12:16:28"/>
    <n v="558"/>
    <d v="2024-07-31T00:00:00"/>
    <d v="2026-01-18T14:57:01"/>
  </r>
  <r>
    <s v="TRX0141"/>
    <x v="43"/>
    <x v="3"/>
    <x v="0"/>
    <s v="Jul-2024"/>
    <s v="CUST033"/>
    <x v="37"/>
    <s v="FT"/>
    <x v="6"/>
    <x v="6"/>
    <x v="2"/>
    <n v="1"/>
    <n v="299.99"/>
    <s v="Credit Card"/>
    <x v="2"/>
    <s v="NO"/>
    <x v="1"/>
    <d v="2022-11-26T00:00:00"/>
    <n v="299.99"/>
    <d v="2026-01-20T00:00:00"/>
    <d v="2026-01-20T12:16:28"/>
    <n v="558"/>
    <d v="2024-07-31T00:00:00"/>
    <d v="2026-01-18T14:57:01"/>
  </r>
  <r>
    <s v="TRX0097"/>
    <x v="44"/>
    <x v="3"/>
    <x v="0"/>
    <s v="Jul-2024"/>
    <s v="CUST033"/>
    <x v="37"/>
    <s v="FT"/>
    <x v="9"/>
    <x v="9"/>
    <x v="2"/>
    <n v="2"/>
    <n v="199.99"/>
    <s v="Cash"/>
    <x v="2"/>
    <s v="NO"/>
    <x v="0"/>
    <d v="2021-12-11T00:00:00"/>
    <n v="399.98"/>
    <d v="2026-01-20T00:00:00"/>
    <d v="2026-01-20T12:16:28"/>
    <n v="555"/>
    <d v="2024-07-31T00:00:00"/>
    <d v="2026-01-18T14:57:01"/>
  </r>
  <r>
    <s v="TRX0169"/>
    <x v="45"/>
    <x v="3"/>
    <x v="0"/>
    <s v="Jul-2024"/>
    <s v="CUST047"/>
    <x v="38"/>
    <s v="GM"/>
    <x v="1"/>
    <x v="1"/>
    <x v="1"/>
    <n v="3"/>
    <n v="59.99"/>
    <s v="Credit Card"/>
    <x v="3"/>
    <s v="WE"/>
    <x v="0"/>
    <d v="2023-07-23T00:00:00"/>
    <n v="179.97"/>
    <d v="2026-01-20T00:00:00"/>
    <d v="2026-01-20T12:16:28"/>
    <n v="552"/>
    <d v="2024-07-31T00:00:00"/>
    <d v="2026-01-18T14:57:01"/>
  </r>
  <r>
    <s v="TRX0216"/>
    <x v="45"/>
    <x v="3"/>
    <x v="0"/>
    <s v="Jul-2024"/>
    <s v="CUST041"/>
    <x v="10"/>
    <s v="PR"/>
    <x v="2"/>
    <x v="2"/>
    <x v="2"/>
    <n v="3"/>
    <n v="149.99"/>
    <s v="Cash"/>
    <x v="0"/>
    <s v="CE"/>
    <x v="1"/>
    <d v="2023-09-30T00:00:00"/>
    <n v="449.97"/>
    <d v="2026-01-20T00:00:00"/>
    <d v="2026-01-20T12:16:28"/>
    <n v="552"/>
    <d v="2024-07-31T00:00:00"/>
    <d v="2026-01-18T14:57:01"/>
  </r>
  <r>
    <s v="TRX0131"/>
    <x v="46"/>
    <x v="3"/>
    <x v="0"/>
    <s v="Jul-2024"/>
    <s v="CUST026"/>
    <x v="8"/>
    <s v="KH"/>
    <x v="9"/>
    <x v="9"/>
    <x v="2"/>
    <n v="3"/>
    <n v="199.99"/>
    <s v="Cash"/>
    <x v="2"/>
    <s v="NO"/>
    <x v="1"/>
    <d v="2023-11-24T00:00:00"/>
    <n v="599.97"/>
    <d v="2026-01-20T00:00:00"/>
    <d v="2026-01-20T12:16:28"/>
    <n v="551"/>
    <d v="2024-07-31T00:00:00"/>
    <d v="2026-01-18T14:57:01"/>
  </r>
  <r>
    <s v="TRX0162"/>
    <x v="47"/>
    <x v="3"/>
    <x v="0"/>
    <s v="Jul-2024"/>
    <s v="CUST040"/>
    <x v="30"/>
    <s v="SB"/>
    <x v="4"/>
    <x v="4"/>
    <x v="0"/>
    <n v="1"/>
    <n v="899.99"/>
    <s v="Cash"/>
    <x v="0"/>
    <s v="CE"/>
    <x v="2"/>
    <d v="2023-09-10T00:00:00"/>
    <n v="899.99"/>
    <d v="2026-01-20T00:00:00"/>
    <d v="2026-01-20T12:16:28"/>
    <n v="546"/>
    <d v="2024-07-31T00:00:00"/>
    <d v="2026-01-18T14:57:01"/>
  </r>
  <r>
    <s v="TRX0244"/>
    <x v="48"/>
    <x v="3"/>
    <x v="0"/>
    <s v="Jul-2024"/>
    <s v="CUST013"/>
    <x v="1"/>
    <s v="JJ"/>
    <x v="4"/>
    <x v="4"/>
    <x v="0"/>
    <n v="5"/>
    <n v="899.99"/>
    <s v="Debit Card"/>
    <x v="1"/>
    <s v="SO"/>
    <x v="2"/>
    <d v="2022-12-04T00:00:00"/>
    <n v="4499.95"/>
    <d v="2026-01-20T00:00:00"/>
    <d v="2026-01-20T12:16:28"/>
    <n v="545"/>
    <d v="2024-07-31T00:00:00"/>
    <d v="2026-01-18T14:57:01"/>
  </r>
  <r>
    <s v="TRX0006"/>
    <x v="49"/>
    <x v="3"/>
    <x v="0"/>
    <s v="Jul-2024"/>
    <s v="CUST007"/>
    <x v="35"/>
    <s v="DM"/>
    <x v="1"/>
    <x v="1"/>
    <x v="1"/>
    <n v="2"/>
    <n v="59.99"/>
    <s v="Cash"/>
    <x v="2"/>
    <s v="NO"/>
    <x v="2"/>
    <d v="2023-08-14T00:00:00"/>
    <n v="119.98"/>
    <d v="2026-01-20T00:00:00"/>
    <d v="2026-01-20T12:16:28"/>
    <n v="544"/>
    <d v="2024-07-31T00:00:00"/>
    <d v="2026-01-18T14:57:01"/>
  </r>
  <r>
    <s v="TRX0215"/>
    <x v="49"/>
    <x v="3"/>
    <x v="0"/>
    <s v="Jul-2024"/>
    <s v="CUST047"/>
    <x v="38"/>
    <s v="GM"/>
    <x v="0"/>
    <x v="0"/>
    <x v="0"/>
    <n v="4"/>
    <n v="249.99"/>
    <s v="Debit Card"/>
    <x v="0"/>
    <s v="CE"/>
    <x v="2"/>
    <d v="2023-07-20T00:00:00"/>
    <n v="999.96"/>
    <d v="2026-01-20T00:00:00"/>
    <d v="2026-01-20T12:16:28"/>
    <n v="544"/>
    <d v="2024-07-31T00:00:00"/>
    <d v="2026-01-18T14:57:01"/>
  </r>
  <r>
    <s v="TRX0080"/>
    <x v="50"/>
    <x v="3"/>
    <x v="0"/>
    <s v="Jul-2024"/>
    <s v="CUST018"/>
    <x v="17"/>
    <s v="BY"/>
    <x v="0"/>
    <x v="0"/>
    <x v="0"/>
    <n v="2"/>
    <n v="249.99"/>
    <s v="Cash"/>
    <x v="2"/>
    <s v="NO"/>
    <x v="1"/>
    <d v="2023-08-26T00:00:00"/>
    <n v="499.98"/>
    <d v="2026-01-20T00:00:00"/>
    <d v="2026-01-20T12:16:28"/>
    <n v="542"/>
    <d v="2024-07-31T00:00:00"/>
    <d v="2026-01-18T14:57:01"/>
  </r>
  <r>
    <s v="TRX0228"/>
    <x v="50"/>
    <x v="3"/>
    <x v="0"/>
    <s v="Jul-2024"/>
    <s v="CUST019"/>
    <x v="29"/>
    <s v="DK"/>
    <x v="6"/>
    <x v="6"/>
    <x v="2"/>
    <n v="1"/>
    <n v="299.99"/>
    <s v="Cash"/>
    <x v="1"/>
    <s v="SO"/>
    <x v="0"/>
    <d v="2023-02-25T00:00:00"/>
    <n v="299.99"/>
    <d v="2026-01-20T00:00:00"/>
    <d v="2026-01-20T12:16:28"/>
    <n v="542"/>
    <d v="2024-07-31T00:00:00"/>
    <d v="2026-01-18T14:57:01"/>
  </r>
  <r>
    <s v="TRX0157"/>
    <x v="51"/>
    <x v="3"/>
    <x v="0"/>
    <s v="Jul-2024"/>
    <s v="CUST025"/>
    <x v="14"/>
    <s v="MC"/>
    <x v="8"/>
    <x v="8"/>
    <x v="0"/>
    <n v="2"/>
    <n v="89.99"/>
    <s v="PayPal"/>
    <x v="1"/>
    <s v="SO"/>
    <x v="0"/>
    <d v="2023-02-19T00:00:00"/>
    <n v="179.98"/>
    <d v="2026-01-20T00:00:00"/>
    <d v="2026-01-20T12:16:28"/>
    <n v="541"/>
    <d v="2024-07-31T00:00:00"/>
    <d v="2026-01-18T14:57:01"/>
  </r>
  <r>
    <s v="TRX0002"/>
    <x v="51"/>
    <x v="3"/>
    <x v="0"/>
    <s v="Jul-2024"/>
    <s v="CUST019"/>
    <x v="29"/>
    <s v="DK"/>
    <x v="6"/>
    <x v="6"/>
    <x v="2"/>
    <n v="3"/>
    <n v="299.99"/>
    <s v="Cash"/>
    <x v="0"/>
    <s v="CE"/>
    <x v="0"/>
    <d v="2022-06-20T00:00:00"/>
    <n v="899.97"/>
    <d v="2026-01-20T00:00:00"/>
    <d v="2026-01-20T12:16:28"/>
    <n v="541"/>
    <d v="2024-07-31T00:00:00"/>
    <d v="2026-01-18T14:57:01"/>
  </r>
  <r>
    <s v="TRX0217"/>
    <x v="52"/>
    <x v="3"/>
    <x v="0"/>
    <s v="Jul-2024"/>
    <s v="CUST025"/>
    <x v="14"/>
    <s v="MC"/>
    <x v="5"/>
    <x v="5"/>
    <x v="0"/>
    <n v="2"/>
    <n v="699.99"/>
    <s v="Credit Card"/>
    <x v="2"/>
    <s v="NO"/>
    <x v="1"/>
    <d v="2023-03-14T00:00:00"/>
    <n v="1399.98"/>
    <d v="2026-01-20T00:00:00"/>
    <d v="2026-01-20T12:16:28"/>
    <n v="539"/>
    <d v="2024-07-31T00:00:00"/>
    <d v="2026-01-18T14:57:01"/>
  </r>
  <r>
    <s v="TRX0249"/>
    <x v="53"/>
    <x v="3"/>
    <x v="0"/>
    <s v="Jul-2024"/>
    <s v="CUST030"/>
    <x v="22"/>
    <s v="HR"/>
    <x v="4"/>
    <x v="4"/>
    <x v="0"/>
    <n v="4"/>
    <n v="899.99"/>
    <s v="Debit Card"/>
    <x v="1"/>
    <s v="SO"/>
    <x v="2"/>
    <d v="2021-11-23T00:00:00"/>
    <n v="3599.96"/>
    <d v="2026-01-20T00:00:00"/>
    <d v="2026-01-20T12:16:28"/>
    <n v="538"/>
    <d v="2024-07-31T00:00:00"/>
    <d v="2026-01-18T14:57:01"/>
  </r>
  <r>
    <s v="TRX0065"/>
    <x v="54"/>
    <x v="4"/>
    <x v="0"/>
    <s v="Aug-2024"/>
    <s v="CUST016"/>
    <x v="39"/>
    <s v="EH"/>
    <x v="2"/>
    <x v="2"/>
    <x v="2"/>
    <n v="2"/>
    <n v="149.99"/>
    <s v="Credit Card"/>
    <x v="3"/>
    <s v="WE"/>
    <x v="0"/>
    <d v="2021-12-12T00:00:00"/>
    <n v="299.98"/>
    <d v="2026-01-20T00:00:00"/>
    <d v="2026-01-20T12:16:28"/>
    <n v="533"/>
    <d v="2024-08-31T00:00:00"/>
    <d v="2026-01-18T14:57:01"/>
  </r>
  <r>
    <s v="TRX0176"/>
    <x v="55"/>
    <x v="4"/>
    <x v="0"/>
    <s v="Aug-2024"/>
    <s v="CUST044"/>
    <x v="19"/>
    <s v="CP"/>
    <x v="2"/>
    <x v="2"/>
    <x v="2"/>
    <n v="2"/>
    <n v="149.99"/>
    <s v="Debit Card"/>
    <x v="4"/>
    <s v="EA"/>
    <x v="2"/>
    <d v="2022-04-16T00:00:00"/>
    <n v="299.98"/>
    <d v="2026-01-20T00:00:00"/>
    <d v="2026-01-20T12:16:28"/>
    <n v="532"/>
    <d v="2024-08-31T00:00:00"/>
    <d v="2026-01-18T14:57:01"/>
  </r>
  <r>
    <s v="TRX0101"/>
    <x v="56"/>
    <x v="4"/>
    <x v="0"/>
    <s v="Aug-2024"/>
    <s v="CUST010"/>
    <x v="15"/>
    <s v="MG"/>
    <x v="8"/>
    <x v="8"/>
    <x v="0"/>
    <n v="1"/>
    <n v="89.99"/>
    <s v="Credit Card"/>
    <x v="2"/>
    <s v="NO"/>
    <x v="2"/>
    <d v="2024-04-11T00:00:00"/>
    <n v="89.99"/>
    <d v="2026-01-20T00:00:00"/>
    <d v="2026-01-20T12:16:28"/>
    <n v="529"/>
    <d v="2024-08-31T00:00:00"/>
    <d v="2026-01-18T14:57:01"/>
  </r>
  <r>
    <s v="TRX0205"/>
    <x v="57"/>
    <x v="4"/>
    <x v="0"/>
    <s v="Aug-2024"/>
    <s v="CUST025"/>
    <x v="14"/>
    <s v="MC"/>
    <x v="6"/>
    <x v="6"/>
    <x v="2"/>
    <n v="5"/>
    <n v="299.99"/>
    <s v="Credit Card"/>
    <x v="2"/>
    <s v="NO"/>
    <x v="0"/>
    <d v="2023-02-08T00:00:00"/>
    <n v="1499.95"/>
    <d v="2026-01-20T00:00:00"/>
    <d v="2026-01-20T12:16:28"/>
    <n v="527"/>
    <d v="2024-08-31T00:00:00"/>
    <d v="2026-01-18T14:57:01"/>
  </r>
  <r>
    <s v="TRX0020"/>
    <x v="58"/>
    <x v="4"/>
    <x v="0"/>
    <s v="Aug-2024"/>
    <s v="CUST007"/>
    <x v="35"/>
    <s v="DM"/>
    <x v="3"/>
    <x v="3"/>
    <x v="0"/>
    <n v="4"/>
    <n v="149.99"/>
    <s v="Debit Card"/>
    <x v="1"/>
    <s v="SO"/>
    <x v="1"/>
    <d v="2022-09-16T00:00:00"/>
    <n v="599.96"/>
    <d v="2026-01-20T00:00:00"/>
    <d v="2026-01-20T12:16:28"/>
    <n v="525"/>
    <d v="2024-08-31T00:00:00"/>
    <d v="2026-01-18T14:57:01"/>
  </r>
  <r>
    <s v="TRX0075"/>
    <x v="58"/>
    <x v="4"/>
    <x v="0"/>
    <s v="Aug-2024"/>
    <s v="CUST020"/>
    <x v="36"/>
    <s v="MW"/>
    <x v="0"/>
    <x v="0"/>
    <x v="0"/>
    <n v="5"/>
    <n v="249.99"/>
    <s v="PayPal"/>
    <x v="4"/>
    <s v="EA"/>
    <x v="1"/>
    <d v="2022-08-09T00:00:00"/>
    <n v="1249.95"/>
    <d v="2026-01-20T00:00:00"/>
    <d v="2026-01-20T12:16:28"/>
    <n v="525"/>
    <d v="2024-08-31T00:00:00"/>
    <d v="2026-01-18T14:57:01"/>
  </r>
  <r>
    <s v="TRX0098"/>
    <x v="58"/>
    <x v="4"/>
    <x v="0"/>
    <s v="Aug-2024"/>
    <s v="CUST026"/>
    <x v="8"/>
    <s v="KH"/>
    <x v="0"/>
    <x v="0"/>
    <x v="0"/>
    <n v="3"/>
    <n v="249.99"/>
    <s v="PayPal"/>
    <x v="2"/>
    <s v="NO"/>
    <x v="1"/>
    <d v="2021-09-26T00:00:00"/>
    <n v="749.97"/>
    <d v="2026-01-20T00:00:00"/>
    <d v="2026-01-20T12:16:28"/>
    <n v="525"/>
    <d v="2024-08-31T00:00:00"/>
    <d v="2026-01-18T14:57:01"/>
  </r>
  <r>
    <s v="TRX0247"/>
    <x v="58"/>
    <x v="4"/>
    <x v="0"/>
    <s v="Aug-2024"/>
    <s v="CUST046"/>
    <x v="3"/>
    <s v="KB"/>
    <x v="9"/>
    <x v="9"/>
    <x v="2"/>
    <n v="4"/>
    <n v="199.99"/>
    <s v="Cash"/>
    <x v="2"/>
    <s v="NO"/>
    <x v="2"/>
    <d v="2021-09-19T00:00:00"/>
    <n v="799.96"/>
    <d v="2026-01-20T00:00:00"/>
    <d v="2026-01-20T12:16:28"/>
    <n v="525"/>
    <d v="2024-08-31T00:00:00"/>
    <d v="2026-01-18T14:57:01"/>
  </r>
  <r>
    <s v="TRX0027"/>
    <x v="59"/>
    <x v="4"/>
    <x v="0"/>
    <s v="Aug-2024"/>
    <s v="CUST028"/>
    <x v="32"/>
    <s v="BC"/>
    <x v="9"/>
    <x v="9"/>
    <x v="2"/>
    <n v="5"/>
    <n v="199.99"/>
    <s v="Cash"/>
    <x v="2"/>
    <s v="NO"/>
    <x v="1"/>
    <d v="2023-03-06T00:00:00"/>
    <n v="999.95"/>
    <d v="2026-01-20T00:00:00"/>
    <d v="2026-01-20T12:16:28"/>
    <n v="523"/>
    <d v="2024-08-31T00:00:00"/>
    <d v="2026-01-18T14:57:01"/>
  </r>
  <r>
    <s v="TRX0140"/>
    <x v="60"/>
    <x v="4"/>
    <x v="0"/>
    <s v="Aug-2024"/>
    <s v="CUST025"/>
    <x v="14"/>
    <s v="MC"/>
    <x v="8"/>
    <x v="8"/>
    <x v="0"/>
    <n v="2"/>
    <n v="89.99"/>
    <s v="Cash"/>
    <x v="4"/>
    <s v="EA"/>
    <x v="1"/>
    <d v="2023-02-15T00:00:00"/>
    <n v="179.98"/>
    <d v="2026-01-20T00:00:00"/>
    <d v="2026-01-20T12:16:28"/>
    <n v="520"/>
    <d v="2024-08-31T00:00:00"/>
    <d v="2026-01-18T14:57:01"/>
  </r>
  <r>
    <s v="TRX0132"/>
    <x v="61"/>
    <x v="4"/>
    <x v="0"/>
    <s v="Aug-2024"/>
    <s v="CUST047"/>
    <x v="38"/>
    <s v="GM"/>
    <x v="4"/>
    <x v="4"/>
    <x v="0"/>
    <n v="5"/>
    <n v="899.99"/>
    <s v="Debit Card"/>
    <x v="4"/>
    <s v="EA"/>
    <x v="0"/>
    <d v="2021-11-26T00:00:00"/>
    <n v="4499.95"/>
    <d v="2026-01-20T00:00:00"/>
    <d v="2026-01-20T12:16:28"/>
    <n v="519"/>
    <d v="2024-08-31T00:00:00"/>
    <d v="2026-01-18T14:57:01"/>
  </r>
  <r>
    <s v="TRX0031"/>
    <x v="61"/>
    <x v="4"/>
    <x v="0"/>
    <s v="Aug-2024"/>
    <s v="CUST036"/>
    <x v="20"/>
    <s v="NC"/>
    <x v="3"/>
    <x v="3"/>
    <x v="0"/>
    <n v="3"/>
    <n v="149.99"/>
    <s v="PayPal"/>
    <x v="4"/>
    <s v="EA"/>
    <x v="0"/>
    <d v="2022-01-13T00:00:00"/>
    <n v="449.97"/>
    <d v="2026-01-20T00:00:00"/>
    <d v="2026-01-20T12:16:28"/>
    <n v="519"/>
    <d v="2024-08-31T00:00:00"/>
    <d v="2026-01-18T14:57:01"/>
  </r>
  <r>
    <s v="TRX0236"/>
    <x v="62"/>
    <x v="4"/>
    <x v="0"/>
    <s v="Aug-2024"/>
    <s v="CUST044"/>
    <x v="19"/>
    <s v="CP"/>
    <x v="2"/>
    <x v="2"/>
    <x v="2"/>
    <n v="5"/>
    <n v="149.99"/>
    <s v="Credit Card"/>
    <x v="0"/>
    <s v="CE"/>
    <x v="0"/>
    <d v="2024-01-19T00:00:00"/>
    <n v="749.95"/>
    <d v="2026-01-20T00:00:00"/>
    <d v="2026-01-20T12:16:28"/>
    <n v="516"/>
    <d v="2024-08-31T00:00:00"/>
    <d v="2026-01-18T14:57:01"/>
  </r>
  <r>
    <s v="TRX0001"/>
    <x v="63"/>
    <x v="4"/>
    <x v="0"/>
    <s v="Aug-2024"/>
    <s v="CUST039"/>
    <x v="40"/>
    <s v="LR"/>
    <x v="7"/>
    <x v="7"/>
    <x v="1"/>
    <n v="3"/>
    <n v="79.989999999999995"/>
    <s v="Cash"/>
    <x v="0"/>
    <s v="CE"/>
    <x v="1"/>
    <d v="2022-08-06T00:00:00"/>
    <n v="239.97"/>
    <d v="2026-01-20T00:00:00"/>
    <d v="2026-01-20T12:16:28"/>
    <n v="514"/>
    <d v="2024-08-31T00:00:00"/>
    <d v="2026-01-18T14:57:01"/>
  </r>
  <r>
    <s v="TRX0037"/>
    <x v="63"/>
    <x v="4"/>
    <x v="0"/>
    <s v="Aug-2024"/>
    <s v="CUST035"/>
    <x v="28"/>
    <s v="HM"/>
    <x v="0"/>
    <x v="0"/>
    <x v="0"/>
    <n v="2"/>
    <n v="249.99"/>
    <s v="Cash"/>
    <x v="1"/>
    <s v="SO"/>
    <x v="2"/>
    <d v="2022-01-11T00:00:00"/>
    <n v="499.98"/>
    <d v="2026-01-20T00:00:00"/>
    <d v="2026-01-20T12:16:28"/>
    <n v="514"/>
    <d v="2024-08-31T00:00:00"/>
    <d v="2026-01-18T14:57:01"/>
  </r>
  <r>
    <s v="TRX0058"/>
    <x v="64"/>
    <x v="4"/>
    <x v="0"/>
    <s v="Aug-2024"/>
    <s v="CUST047"/>
    <x v="38"/>
    <s v="GM"/>
    <x v="5"/>
    <x v="5"/>
    <x v="0"/>
    <n v="1"/>
    <n v="699.99"/>
    <s v="Cash"/>
    <x v="0"/>
    <s v="CE"/>
    <x v="1"/>
    <d v="2021-10-28T00:00:00"/>
    <n v="699.99"/>
    <d v="2026-01-20T00:00:00"/>
    <d v="2026-01-20T12:16:28"/>
    <n v="510"/>
    <d v="2024-08-31T00:00:00"/>
    <d v="2026-01-18T14:57:01"/>
  </r>
  <r>
    <s v="TRX0170"/>
    <x v="64"/>
    <x v="4"/>
    <x v="0"/>
    <s v="Aug-2024"/>
    <s v="CUST034"/>
    <x v="41"/>
    <s v="CE"/>
    <x v="3"/>
    <x v="3"/>
    <x v="0"/>
    <n v="3"/>
    <n v="149.99"/>
    <s v="Cash"/>
    <x v="3"/>
    <s v="WE"/>
    <x v="1"/>
    <d v="2023-10-13T00:00:00"/>
    <n v="449.97"/>
    <d v="2026-01-20T00:00:00"/>
    <d v="2026-01-20T12:16:28"/>
    <n v="510"/>
    <d v="2024-08-31T00:00:00"/>
    <d v="2026-01-18T14:57:01"/>
  </r>
  <r>
    <s v="TRX0248"/>
    <x v="65"/>
    <x v="4"/>
    <x v="0"/>
    <s v="Aug-2024"/>
    <s v="CUST032"/>
    <x v="42"/>
    <s v="SP"/>
    <x v="5"/>
    <x v="5"/>
    <x v="0"/>
    <n v="2"/>
    <n v="699.99"/>
    <s v="Credit Card"/>
    <x v="2"/>
    <s v="NO"/>
    <x v="1"/>
    <d v="2021-08-13T00:00:00"/>
    <n v="1399.98"/>
    <d v="2026-01-20T00:00:00"/>
    <d v="2026-01-20T12:16:28"/>
    <n v="508"/>
    <d v="2024-08-31T00:00:00"/>
    <d v="2026-01-18T14:57:01"/>
  </r>
  <r>
    <s v="TRX0099"/>
    <x v="66"/>
    <x v="5"/>
    <x v="0"/>
    <s v="Sep-2024"/>
    <s v="CUST034"/>
    <x v="41"/>
    <s v="CE"/>
    <x v="0"/>
    <x v="0"/>
    <x v="0"/>
    <n v="1"/>
    <n v="249.99"/>
    <s v="Credit Card"/>
    <x v="3"/>
    <s v="WE"/>
    <x v="1"/>
    <d v="2022-05-04T00:00:00"/>
    <n v="249.99"/>
    <d v="2026-01-20T00:00:00"/>
    <d v="2026-01-20T12:16:28"/>
    <n v="505"/>
    <d v="2024-09-30T00:00:00"/>
    <d v="2026-01-18T14:57:01"/>
  </r>
  <r>
    <s v="TRX0074"/>
    <x v="66"/>
    <x v="5"/>
    <x v="0"/>
    <s v="Sep-2024"/>
    <s v="CUST023"/>
    <x v="0"/>
    <s v="PB"/>
    <x v="0"/>
    <x v="0"/>
    <x v="0"/>
    <n v="1"/>
    <n v="249.99"/>
    <s v="Debit Card"/>
    <x v="2"/>
    <s v="NO"/>
    <x v="1"/>
    <d v="2024-02-10T00:00:00"/>
    <n v="249.99"/>
    <d v="2026-01-20T00:00:00"/>
    <d v="2026-01-20T12:16:28"/>
    <n v="505"/>
    <d v="2024-09-30T00:00:00"/>
    <d v="2026-01-18T14:57:01"/>
  </r>
  <r>
    <s v="TRX0225"/>
    <x v="67"/>
    <x v="5"/>
    <x v="0"/>
    <s v="Sep-2024"/>
    <s v="CUST039"/>
    <x v="40"/>
    <s v="LR"/>
    <x v="5"/>
    <x v="5"/>
    <x v="0"/>
    <n v="2"/>
    <n v="699.99"/>
    <s v="Debit Card"/>
    <x v="0"/>
    <s v="CE"/>
    <x v="1"/>
    <d v="2022-11-05T00:00:00"/>
    <n v="1399.98"/>
    <d v="2026-01-20T00:00:00"/>
    <d v="2026-01-20T12:16:28"/>
    <n v="504"/>
    <d v="2024-09-30T00:00:00"/>
    <d v="2026-01-18T14:57:01"/>
  </r>
  <r>
    <s v="TRX0100"/>
    <x v="68"/>
    <x v="5"/>
    <x v="0"/>
    <s v="Sep-2024"/>
    <s v="CUST031"/>
    <x v="26"/>
    <s v="ST"/>
    <x v="1"/>
    <x v="1"/>
    <x v="1"/>
    <n v="3"/>
    <n v="59.99"/>
    <s v="Credit Card"/>
    <x v="0"/>
    <s v="CE"/>
    <x v="1"/>
    <d v="2022-06-05T00:00:00"/>
    <n v="179.97"/>
    <d v="2026-01-20T00:00:00"/>
    <d v="2026-01-20T12:16:28"/>
    <n v="501"/>
    <d v="2024-09-30T00:00:00"/>
    <d v="2026-01-18T14:57:01"/>
  </r>
  <r>
    <s v="TRX0142"/>
    <x v="69"/>
    <x v="5"/>
    <x v="0"/>
    <s v="Sep-2024"/>
    <s v="CUST002"/>
    <x v="25"/>
    <s v="EW"/>
    <x v="1"/>
    <x v="1"/>
    <x v="1"/>
    <n v="3"/>
    <n v="59.99"/>
    <s v="PayPal"/>
    <x v="4"/>
    <s v="EA"/>
    <x v="2"/>
    <d v="2022-07-06T00:00:00"/>
    <n v="179.97"/>
    <d v="2026-01-20T00:00:00"/>
    <d v="2026-01-20T12:16:28"/>
    <n v="498"/>
    <d v="2024-09-30T00:00:00"/>
    <d v="2026-01-18T14:57:01"/>
  </r>
  <r>
    <s v="TRX0112"/>
    <x v="69"/>
    <x v="5"/>
    <x v="0"/>
    <s v="Sep-2024"/>
    <s v="CUST008"/>
    <x v="27"/>
    <s v="JT"/>
    <x v="7"/>
    <x v="7"/>
    <x v="1"/>
    <n v="4"/>
    <n v="79.989999999999995"/>
    <s v="Cash"/>
    <x v="2"/>
    <s v="NO"/>
    <x v="0"/>
    <d v="2021-11-30T00:00:00"/>
    <n v="319.95999999999998"/>
    <d v="2026-01-20T00:00:00"/>
    <d v="2026-01-20T12:16:28"/>
    <n v="498"/>
    <d v="2024-09-30T00:00:00"/>
    <d v="2026-01-18T14:57:01"/>
  </r>
  <r>
    <s v="TRX0161"/>
    <x v="70"/>
    <x v="5"/>
    <x v="0"/>
    <s v="Sep-2024"/>
    <s v="CUST017"/>
    <x v="6"/>
    <s v="CA"/>
    <x v="7"/>
    <x v="7"/>
    <x v="1"/>
    <n v="1"/>
    <n v="79.989999999999995"/>
    <s v="Cash"/>
    <x v="3"/>
    <s v="WE"/>
    <x v="0"/>
    <d v="2022-05-12T00:00:00"/>
    <n v="79.989999999999995"/>
    <d v="2026-01-20T00:00:00"/>
    <d v="2026-01-20T12:16:28"/>
    <n v="497"/>
    <d v="2024-09-30T00:00:00"/>
    <d v="2026-01-18T14:57:01"/>
  </r>
  <r>
    <s v="TRX0108"/>
    <x v="71"/>
    <x v="5"/>
    <x v="0"/>
    <s v="Sep-2024"/>
    <s v="CUST024"/>
    <x v="5"/>
    <s v="DN"/>
    <x v="6"/>
    <x v="6"/>
    <x v="2"/>
    <n v="3"/>
    <n v="299.99"/>
    <s v="Credit Card"/>
    <x v="0"/>
    <s v="CE"/>
    <x v="1"/>
    <d v="2021-10-25T00:00:00"/>
    <n v="899.97"/>
    <d v="2026-01-20T00:00:00"/>
    <d v="2026-01-20T12:16:28"/>
    <n v="495"/>
    <d v="2024-09-30T00:00:00"/>
    <d v="2026-01-18T14:57:01"/>
  </r>
  <r>
    <s v="TRX0211"/>
    <x v="72"/>
    <x v="5"/>
    <x v="0"/>
    <s v="Sep-2024"/>
    <s v="CUST046"/>
    <x v="3"/>
    <s v="KB"/>
    <x v="8"/>
    <x v="8"/>
    <x v="0"/>
    <n v="2"/>
    <n v="89.99"/>
    <s v="Credit Card"/>
    <x v="1"/>
    <s v="SO"/>
    <x v="1"/>
    <d v="2022-03-21T00:00:00"/>
    <n v="179.98"/>
    <d v="2026-01-20T00:00:00"/>
    <d v="2026-01-20T12:16:28"/>
    <n v="494"/>
    <d v="2024-09-30T00:00:00"/>
    <d v="2026-01-18T14:57:01"/>
  </r>
  <r>
    <s v="TRX0005"/>
    <x v="73"/>
    <x v="5"/>
    <x v="0"/>
    <s v="Sep-2024"/>
    <s v="CUST042"/>
    <x v="43"/>
    <s v="RB"/>
    <x v="3"/>
    <x v="3"/>
    <x v="0"/>
    <n v="4"/>
    <n v="149.99"/>
    <s v="Cash"/>
    <x v="2"/>
    <s v="NO"/>
    <x v="0"/>
    <d v="2022-12-14T00:00:00"/>
    <n v="599.96"/>
    <d v="2026-01-20T00:00:00"/>
    <d v="2026-01-20T12:16:28"/>
    <n v="492"/>
    <d v="2024-09-30T00:00:00"/>
    <d v="2026-01-18T14:57:01"/>
  </r>
  <r>
    <s v="TRX0195"/>
    <x v="74"/>
    <x v="5"/>
    <x v="0"/>
    <s v="Sep-2024"/>
    <s v="CUST026"/>
    <x v="8"/>
    <s v="KH"/>
    <x v="0"/>
    <x v="0"/>
    <x v="0"/>
    <n v="2"/>
    <n v="249.99"/>
    <s v="PayPal"/>
    <x v="1"/>
    <s v="SO"/>
    <x v="0"/>
    <d v="2023-03-08T00:00:00"/>
    <n v="499.98"/>
    <d v="2026-01-20T00:00:00"/>
    <d v="2026-01-20T12:16:28"/>
    <n v="491"/>
    <d v="2024-09-30T00:00:00"/>
    <d v="2026-01-18T14:57:01"/>
  </r>
  <r>
    <s v="TRX0054"/>
    <x v="74"/>
    <x v="5"/>
    <x v="0"/>
    <s v="Sep-2024"/>
    <s v="CUST004"/>
    <x v="31"/>
    <s v="SD"/>
    <x v="9"/>
    <x v="9"/>
    <x v="2"/>
    <n v="4"/>
    <n v="199.99"/>
    <s v="Debit Card"/>
    <x v="4"/>
    <s v="EA"/>
    <x v="0"/>
    <d v="2021-09-19T00:00:00"/>
    <n v="799.96"/>
    <d v="2026-01-20T00:00:00"/>
    <d v="2026-01-20T12:16:28"/>
    <n v="491"/>
    <d v="2024-09-30T00:00:00"/>
    <d v="2026-01-18T14:57:01"/>
  </r>
  <r>
    <s v="TRX0077"/>
    <x v="75"/>
    <x v="5"/>
    <x v="0"/>
    <s v="Sep-2024"/>
    <s v="CUST019"/>
    <x v="29"/>
    <s v="DK"/>
    <x v="8"/>
    <x v="8"/>
    <x v="0"/>
    <n v="5"/>
    <n v="89.99"/>
    <s v="Credit Card"/>
    <x v="4"/>
    <s v="EA"/>
    <x v="1"/>
    <d v="2021-09-07T00:00:00"/>
    <n v="449.95"/>
    <d v="2026-01-20T00:00:00"/>
    <d v="2026-01-20T12:16:28"/>
    <n v="488"/>
    <d v="2024-09-30T00:00:00"/>
    <d v="2026-01-18T14:57:01"/>
  </r>
  <r>
    <s v="TRX0111"/>
    <x v="75"/>
    <x v="5"/>
    <x v="0"/>
    <s v="Sep-2024"/>
    <s v="CUST011"/>
    <x v="44"/>
    <s v="WW"/>
    <x v="3"/>
    <x v="3"/>
    <x v="0"/>
    <n v="1"/>
    <n v="149.99"/>
    <s v="PayPal"/>
    <x v="4"/>
    <s v="EA"/>
    <x v="2"/>
    <d v="2021-10-13T00:00:00"/>
    <n v="149.99"/>
    <d v="2026-01-20T00:00:00"/>
    <d v="2026-01-20T12:16:28"/>
    <n v="488"/>
    <d v="2024-09-30T00:00:00"/>
    <d v="2026-01-18T14:57:01"/>
  </r>
  <r>
    <s v="TRX0123"/>
    <x v="75"/>
    <x v="5"/>
    <x v="0"/>
    <s v="Sep-2024"/>
    <s v="CUST041"/>
    <x v="10"/>
    <s v="PR"/>
    <x v="5"/>
    <x v="5"/>
    <x v="0"/>
    <n v="4"/>
    <n v="699.99"/>
    <s v="PayPal"/>
    <x v="1"/>
    <s v="SO"/>
    <x v="0"/>
    <d v="2022-02-26T00:00:00"/>
    <n v="2799.96"/>
    <d v="2026-01-20T00:00:00"/>
    <d v="2026-01-20T12:16:28"/>
    <n v="488"/>
    <d v="2024-09-30T00:00:00"/>
    <d v="2026-01-18T14:57:01"/>
  </r>
  <r>
    <s v="TRX0177"/>
    <x v="76"/>
    <x v="5"/>
    <x v="0"/>
    <s v="Sep-2024"/>
    <s v="CUST032"/>
    <x v="42"/>
    <s v="SP"/>
    <x v="4"/>
    <x v="4"/>
    <x v="0"/>
    <n v="3"/>
    <n v="899.99"/>
    <s v="Credit Card"/>
    <x v="2"/>
    <s v="NO"/>
    <x v="2"/>
    <d v="2023-08-19T00:00:00"/>
    <n v="2699.97"/>
    <d v="2026-01-20T00:00:00"/>
    <d v="2026-01-20T12:16:28"/>
    <n v="483"/>
    <d v="2024-09-30T00:00:00"/>
    <d v="2026-01-18T14:57:01"/>
  </r>
  <r>
    <s v="TRX0119"/>
    <x v="77"/>
    <x v="5"/>
    <x v="0"/>
    <s v="Sep-2024"/>
    <s v="CUST014"/>
    <x v="21"/>
    <s v="LM"/>
    <x v="2"/>
    <x v="2"/>
    <x v="2"/>
    <n v="3"/>
    <n v="149.99"/>
    <s v="PayPal"/>
    <x v="4"/>
    <s v="EA"/>
    <x v="0"/>
    <d v="2022-11-21T00:00:00"/>
    <n v="449.97"/>
    <d v="2026-01-20T00:00:00"/>
    <d v="2026-01-20T12:16:28"/>
    <n v="482"/>
    <d v="2024-09-30T00:00:00"/>
    <d v="2026-01-18T14:57:01"/>
  </r>
  <r>
    <s v="TRX0181"/>
    <x v="78"/>
    <x v="5"/>
    <x v="0"/>
    <s v="Sep-2024"/>
    <s v="CUST012"/>
    <x v="18"/>
    <s v="PM"/>
    <x v="6"/>
    <x v="6"/>
    <x v="2"/>
    <n v="2"/>
    <n v="299.99"/>
    <s v="Debit Card"/>
    <x v="0"/>
    <s v="CE"/>
    <x v="0"/>
    <d v="2022-01-08T00:00:00"/>
    <n v="599.98"/>
    <d v="2026-01-20T00:00:00"/>
    <d v="2026-01-20T12:16:28"/>
    <n v="479"/>
    <d v="2024-09-30T00:00:00"/>
    <d v="2026-01-18T14:57:01"/>
  </r>
  <r>
    <s v="TRX0129"/>
    <x v="79"/>
    <x v="5"/>
    <x v="0"/>
    <s v="Sep-2024"/>
    <s v="CUST015"/>
    <x v="45"/>
    <s v="RL"/>
    <x v="9"/>
    <x v="9"/>
    <x v="2"/>
    <n v="1"/>
    <n v="199.99"/>
    <s v="Debit Card"/>
    <x v="4"/>
    <s v="EA"/>
    <x v="2"/>
    <d v="2023-01-27T00:00:00"/>
    <n v="199.99"/>
    <d v="2026-01-20T00:00:00"/>
    <d v="2026-01-20T12:16:28"/>
    <n v="478"/>
    <d v="2024-09-30T00:00:00"/>
    <d v="2026-01-18T14:57:01"/>
  </r>
  <r>
    <s v="TRX0174"/>
    <x v="80"/>
    <x v="6"/>
    <x v="0"/>
    <s v="Oct-2024"/>
    <s v="CUST003"/>
    <x v="4"/>
    <s v="MB"/>
    <x v="6"/>
    <x v="6"/>
    <x v="2"/>
    <n v="4"/>
    <n v="299.99"/>
    <s v="Cash"/>
    <x v="0"/>
    <s v="CE"/>
    <x v="1"/>
    <d v="2021-09-21T00:00:00"/>
    <n v="1199.96"/>
    <d v="2026-01-20T00:00:00"/>
    <d v="2026-01-20T12:16:28"/>
    <n v="476"/>
    <d v="2024-10-31T00:00:00"/>
    <d v="2026-01-18T14:57:01"/>
  </r>
  <r>
    <s v="TRX0146"/>
    <x v="81"/>
    <x v="6"/>
    <x v="0"/>
    <s v="Oct-2024"/>
    <s v="CUST010"/>
    <x v="15"/>
    <s v="MG"/>
    <x v="1"/>
    <x v="1"/>
    <x v="1"/>
    <n v="2"/>
    <n v="59.99"/>
    <s v="Credit Card"/>
    <x v="0"/>
    <s v="CE"/>
    <x v="0"/>
    <d v="2022-01-18T00:00:00"/>
    <n v="119.98"/>
    <d v="2026-01-20T00:00:00"/>
    <d v="2026-01-20T12:16:28"/>
    <n v="470"/>
    <d v="2024-10-31T00:00:00"/>
    <d v="2026-01-18T14:57:01"/>
  </r>
  <r>
    <s v="TRX0203"/>
    <x v="81"/>
    <x v="6"/>
    <x v="0"/>
    <s v="Oct-2024"/>
    <s v="CUST032"/>
    <x v="42"/>
    <s v="SP"/>
    <x v="3"/>
    <x v="3"/>
    <x v="0"/>
    <n v="4"/>
    <n v="149.99"/>
    <s v="Credit Card"/>
    <x v="2"/>
    <s v="NO"/>
    <x v="1"/>
    <d v="2023-05-30T00:00:00"/>
    <n v="599.96"/>
    <d v="2026-01-20T00:00:00"/>
    <d v="2026-01-20T12:16:28"/>
    <n v="470"/>
    <d v="2024-10-31T00:00:00"/>
    <d v="2026-01-18T14:57:01"/>
  </r>
  <r>
    <s v="TRX0055"/>
    <x v="82"/>
    <x v="6"/>
    <x v="0"/>
    <s v="Oct-2024"/>
    <s v="CUST016"/>
    <x v="39"/>
    <s v="EH"/>
    <x v="5"/>
    <x v="5"/>
    <x v="0"/>
    <n v="2"/>
    <n v="699.99"/>
    <s v="Debit Card"/>
    <x v="4"/>
    <s v="EA"/>
    <x v="1"/>
    <d v="2023-12-14T00:00:00"/>
    <n v="1399.98"/>
    <d v="2026-01-20T00:00:00"/>
    <d v="2026-01-20T12:16:28"/>
    <n v="469"/>
    <d v="2024-10-31T00:00:00"/>
    <d v="2026-01-18T14:57:01"/>
  </r>
  <r>
    <s v="TRX0218"/>
    <x v="82"/>
    <x v="6"/>
    <x v="0"/>
    <s v="Oct-2024"/>
    <s v="CUST034"/>
    <x v="41"/>
    <s v="CE"/>
    <x v="2"/>
    <x v="2"/>
    <x v="2"/>
    <n v="3"/>
    <n v="149.99"/>
    <s v="Credit Card"/>
    <x v="1"/>
    <s v="SO"/>
    <x v="2"/>
    <d v="2023-01-14T00:00:00"/>
    <n v="449.97"/>
    <d v="2026-01-20T00:00:00"/>
    <d v="2026-01-20T12:16:28"/>
    <n v="469"/>
    <d v="2024-10-31T00:00:00"/>
    <d v="2026-01-18T14:57:01"/>
  </r>
  <r>
    <s v="TRX0085"/>
    <x v="83"/>
    <x v="6"/>
    <x v="0"/>
    <s v="Oct-2024"/>
    <s v="CUST019"/>
    <x v="29"/>
    <s v="DK"/>
    <x v="6"/>
    <x v="6"/>
    <x v="2"/>
    <n v="3"/>
    <n v="299.99"/>
    <s v="Credit Card"/>
    <x v="0"/>
    <s v="CE"/>
    <x v="2"/>
    <d v="2023-09-05T00:00:00"/>
    <n v="899.97"/>
    <d v="2026-01-20T00:00:00"/>
    <d v="2026-01-20T12:16:28"/>
    <n v="466"/>
    <d v="2024-10-31T00:00:00"/>
    <d v="2026-01-18T14:57:01"/>
  </r>
  <r>
    <s v="TRX0158"/>
    <x v="84"/>
    <x v="6"/>
    <x v="0"/>
    <s v="Oct-2024"/>
    <s v="CUST027"/>
    <x v="13"/>
    <s v="GA"/>
    <x v="4"/>
    <x v="4"/>
    <x v="0"/>
    <n v="3"/>
    <n v="899.99"/>
    <s v="PayPal"/>
    <x v="3"/>
    <s v="WE"/>
    <x v="0"/>
    <d v="2023-10-16T00:00:00"/>
    <n v="2699.97"/>
    <d v="2026-01-20T00:00:00"/>
    <d v="2026-01-20T12:16:28"/>
    <n v="463"/>
    <d v="2024-10-31T00:00:00"/>
    <d v="2026-01-18T14:57:01"/>
  </r>
  <r>
    <s v="TRX0173"/>
    <x v="85"/>
    <x v="6"/>
    <x v="0"/>
    <s v="Oct-2024"/>
    <s v="CUST018"/>
    <x v="17"/>
    <s v="BY"/>
    <x v="5"/>
    <x v="5"/>
    <x v="0"/>
    <n v="5"/>
    <n v="699.99"/>
    <s v="Cash"/>
    <x v="4"/>
    <s v="EA"/>
    <x v="2"/>
    <d v="2023-03-23T00:00:00"/>
    <n v="3499.95"/>
    <d v="2026-01-20T00:00:00"/>
    <d v="2026-01-20T12:16:28"/>
    <n v="461"/>
    <d v="2024-10-31T00:00:00"/>
    <d v="2026-01-18T14:57:01"/>
  </r>
  <r>
    <s v="TRX0034"/>
    <x v="85"/>
    <x v="6"/>
    <x v="0"/>
    <s v="Oct-2024"/>
    <s v="CUST049"/>
    <x v="34"/>
    <s v="RR"/>
    <x v="5"/>
    <x v="5"/>
    <x v="0"/>
    <n v="4"/>
    <n v="699.99"/>
    <s v="Credit Card"/>
    <x v="0"/>
    <s v="CE"/>
    <x v="0"/>
    <d v="2024-04-03T00:00:00"/>
    <n v="2799.96"/>
    <d v="2026-01-20T00:00:00"/>
    <d v="2026-01-20T12:16:28"/>
    <n v="461"/>
    <d v="2024-10-31T00:00:00"/>
    <d v="2026-01-18T14:57:01"/>
  </r>
  <r>
    <s v="TRX0189"/>
    <x v="85"/>
    <x v="6"/>
    <x v="0"/>
    <s v="Oct-2024"/>
    <s v="CUST040"/>
    <x v="30"/>
    <s v="SB"/>
    <x v="4"/>
    <x v="4"/>
    <x v="0"/>
    <n v="1"/>
    <n v="899.99"/>
    <s v="Credit Card"/>
    <x v="4"/>
    <s v="EA"/>
    <x v="2"/>
    <d v="2024-03-18T00:00:00"/>
    <n v="899.99"/>
    <d v="2026-01-20T00:00:00"/>
    <d v="2026-01-20T12:16:28"/>
    <n v="461"/>
    <d v="2024-10-31T00:00:00"/>
    <d v="2026-01-18T14:57:01"/>
  </r>
  <r>
    <s v="TRX0190"/>
    <x v="86"/>
    <x v="6"/>
    <x v="0"/>
    <s v="Oct-2024"/>
    <s v="CUST039"/>
    <x v="40"/>
    <s v="LR"/>
    <x v="3"/>
    <x v="3"/>
    <x v="0"/>
    <n v="2"/>
    <n v="149.99"/>
    <s v="Credit Card"/>
    <x v="3"/>
    <s v="WE"/>
    <x v="0"/>
    <d v="2022-12-21T00:00:00"/>
    <n v="299.98"/>
    <d v="2026-01-20T00:00:00"/>
    <d v="2026-01-20T12:16:28"/>
    <n v="459"/>
    <d v="2024-10-31T00:00:00"/>
    <d v="2026-01-18T14:57:01"/>
  </r>
  <r>
    <s v="TRX0079"/>
    <x v="87"/>
    <x v="6"/>
    <x v="0"/>
    <s v="Oct-2024"/>
    <s v="CUST039"/>
    <x v="40"/>
    <s v="LR"/>
    <x v="8"/>
    <x v="8"/>
    <x v="0"/>
    <n v="3"/>
    <n v="89.99"/>
    <s v="PayPal"/>
    <x v="0"/>
    <s v="CE"/>
    <x v="0"/>
    <d v="2021-12-21T00:00:00"/>
    <n v="269.97000000000003"/>
    <d v="2026-01-20T00:00:00"/>
    <d v="2026-01-20T12:16:28"/>
    <n v="456"/>
    <d v="2024-10-31T00:00:00"/>
    <d v="2026-01-18T14:57:01"/>
  </r>
  <r>
    <s v="TRX0095"/>
    <x v="88"/>
    <x v="6"/>
    <x v="0"/>
    <s v="Oct-2024"/>
    <s v="CUST046"/>
    <x v="3"/>
    <s v="KB"/>
    <x v="3"/>
    <x v="3"/>
    <x v="0"/>
    <n v="2"/>
    <n v="149.99"/>
    <s v="PayPal"/>
    <x v="0"/>
    <s v="CE"/>
    <x v="0"/>
    <d v="2021-10-04T00:00:00"/>
    <n v="299.98"/>
    <d v="2026-01-20T00:00:00"/>
    <d v="2026-01-20T12:16:28"/>
    <n v="454"/>
    <d v="2024-10-31T00:00:00"/>
    <d v="2026-01-18T14:57:01"/>
  </r>
  <r>
    <s v="TRX0009"/>
    <x v="88"/>
    <x v="6"/>
    <x v="0"/>
    <s v="Oct-2024"/>
    <s v="CUST004"/>
    <x v="31"/>
    <s v="SD"/>
    <x v="5"/>
    <x v="5"/>
    <x v="0"/>
    <n v="2"/>
    <n v="699.99"/>
    <s v="Cash"/>
    <x v="0"/>
    <s v="CE"/>
    <x v="0"/>
    <d v="2023-03-07T00:00:00"/>
    <n v="1399.98"/>
    <d v="2026-01-20T00:00:00"/>
    <d v="2026-01-20T12:16:28"/>
    <n v="454"/>
    <d v="2024-10-31T00:00:00"/>
    <d v="2026-01-18T14:57:01"/>
  </r>
  <r>
    <s v="TRX0167"/>
    <x v="89"/>
    <x v="6"/>
    <x v="0"/>
    <s v="Oct-2024"/>
    <s v="CUST028"/>
    <x v="32"/>
    <s v="BC"/>
    <x v="5"/>
    <x v="5"/>
    <x v="0"/>
    <n v="5"/>
    <n v="699.99"/>
    <s v="Cash"/>
    <x v="2"/>
    <s v="NO"/>
    <x v="1"/>
    <d v="2022-03-15T00:00:00"/>
    <n v="3499.95"/>
    <d v="2026-01-20T00:00:00"/>
    <d v="2026-01-20T12:16:28"/>
    <n v="453"/>
    <d v="2024-10-31T00:00:00"/>
    <d v="2026-01-18T14:57:01"/>
  </r>
  <r>
    <s v="TRX0153"/>
    <x v="90"/>
    <x v="6"/>
    <x v="0"/>
    <s v="Oct-2024"/>
    <s v="CUST049"/>
    <x v="34"/>
    <s v="RR"/>
    <x v="8"/>
    <x v="8"/>
    <x v="0"/>
    <n v="3"/>
    <n v="89.99"/>
    <s v="Credit Card"/>
    <x v="2"/>
    <s v="NO"/>
    <x v="2"/>
    <d v="2022-02-23T00:00:00"/>
    <n v="269.97000000000003"/>
    <d v="2026-01-20T00:00:00"/>
    <d v="2026-01-20T12:16:28"/>
    <n v="450"/>
    <d v="2024-10-31T00:00:00"/>
    <d v="2026-01-18T14:57:01"/>
  </r>
  <r>
    <s v="TRX0057"/>
    <x v="91"/>
    <x v="7"/>
    <x v="0"/>
    <s v="Nov-2024"/>
    <s v="CUST023"/>
    <x v="0"/>
    <s v="PB"/>
    <x v="0"/>
    <x v="0"/>
    <x v="0"/>
    <n v="5"/>
    <n v="249.99"/>
    <s v="Credit Card"/>
    <x v="1"/>
    <s v="SO"/>
    <x v="2"/>
    <d v="2022-11-16T00:00:00"/>
    <n v="1249.95"/>
    <d v="2026-01-20T00:00:00"/>
    <d v="2026-01-20T12:16:28"/>
    <n v="445"/>
    <d v="2024-11-30T00:00:00"/>
    <d v="2026-01-18T14:57:01"/>
  </r>
  <r>
    <s v="TRX0017"/>
    <x v="92"/>
    <x v="7"/>
    <x v="0"/>
    <s v="Nov-2024"/>
    <s v="CUST026"/>
    <x v="8"/>
    <s v="KH"/>
    <x v="6"/>
    <x v="6"/>
    <x v="2"/>
    <n v="3"/>
    <n v="299.99"/>
    <s v="Credit Card"/>
    <x v="1"/>
    <s v="SO"/>
    <x v="2"/>
    <d v="2021-11-02T00:00:00"/>
    <n v="899.97"/>
    <d v="2026-01-20T00:00:00"/>
    <d v="2026-01-20T12:16:28"/>
    <n v="442"/>
    <d v="2024-11-30T00:00:00"/>
    <d v="2026-01-18T14:57:01"/>
  </r>
  <r>
    <s v="TRX0060"/>
    <x v="93"/>
    <x v="7"/>
    <x v="0"/>
    <s v="Nov-2024"/>
    <s v="CUST012"/>
    <x v="18"/>
    <s v="PM"/>
    <x v="8"/>
    <x v="8"/>
    <x v="0"/>
    <n v="3"/>
    <n v="89.99"/>
    <s v="Credit Card"/>
    <x v="2"/>
    <s v="NO"/>
    <x v="1"/>
    <d v="2021-08-12T00:00:00"/>
    <n v="269.97000000000003"/>
    <d v="2026-01-20T00:00:00"/>
    <d v="2026-01-20T12:16:28"/>
    <n v="439"/>
    <d v="2024-11-30T00:00:00"/>
    <d v="2026-01-18T14:57:01"/>
  </r>
  <r>
    <s v="TRX0109"/>
    <x v="94"/>
    <x v="7"/>
    <x v="0"/>
    <s v="Nov-2024"/>
    <s v="CUST010"/>
    <x v="15"/>
    <s v="MG"/>
    <x v="2"/>
    <x v="2"/>
    <x v="2"/>
    <n v="2"/>
    <n v="149.99"/>
    <s v="Credit Card"/>
    <x v="3"/>
    <s v="WE"/>
    <x v="1"/>
    <d v="2022-10-14T00:00:00"/>
    <n v="299.98"/>
    <d v="2026-01-20T00:00:00"/>
    <d v="2026-01-20T12:16:28"/>
    <n v="438"/>
    <d v="2024-11-30T00:00:00"/>
    <d v="2026-01-18T14:57:01"/>
  </r>
  <r>
    <s v="TRX0090"/>
    <x v="95"/>
    <x v="7"/>
    <x v="0"/>
    <s v="Nov-2024"/>
    <s v="CUST020"/>
    <x v="36"/>
    <s v="MW"/>
    <x v="0"/>
    <x v="0"/>
    <x v="0"/>
    <n v="1"/>
    <n v="249.99"/>
    <s v="Credit Card"/>
    <x v="2"/>
    <s v="NO"/>
    <x v="1"/>
    <d v="2022-09-24T00:00:00"/>
    <n v="249.99"/>
    <d v="2026-01-20T00:00:00"/>
    <d v="2026-01-20T12:16:28"/>
    <n v="437"/>
    <d v="2024-11-30T00:00:00"/>
    <d v="2026-01-18T14:57:01"/>
  </r>
  <r>
    <s v="TRX0035"/>
    <x v="96"/>
    <x v="7"/>
    <x v="0"/>
    <s v="Nov-2024"/>
    <s v="CUST041"/>
    <x v="10"/>
    <s v="PR"/>
    <x v="3"/>
    <x v="3"/>
    <x v="0"/>
    <n v="3"/>
    <n v="149.99"/>
    <s v="Cash"/>
    <x v="2"/>
    <s v="NO"/>
    <x v="0"/>
    <d v="2022-07-27T00:00:00"/>
    <n v="449.97"/>
    <d v="2026-01-20T00:00:00"/>
    <d v="2026-01-20T12:16:28"/>
    <n v="435"/>
    <d v="2024-11-30T00:00:00"/>
    <d v="2026-01-18T14:57:01"/>
  </r>
  <r>
    <s v="TRX0172"/>
    <x v="96"/>
    <x v="7"/>
    <x v="0"/>
    <s v="Nov-2024"/>
    <s v="CUST023"/>
    <x v="0"/>
    <s v="PB"/>
    <x v="1"/>
    <x v="1"/>
    <x v="1"/>
    <n v="5"/>
    <n v="59.99"/>
    <s v="PayPal"/>
    <x v="3"/>
    <s v="WE"/>
    <x v="1"/>
    <d v="2022-05-13T00:00:00"/>
    <n v="299.95"/>
    <d v="2026-01-20T00:00:00"/>
    <d v="2026-01-20T12:16:28"/>
    <n v="435"/>
    <d v="2024-11-30T00:00:00"/>
    <d v="2026-01-18T14:57:01"/>
  </r>
  <r>
    <s v="TRX0076"/>
    <x v="96"/>
    <x v="7"/>
    <x v="0"/>
    <s v="Nov-2024"/>
    <s v="CUST012"/>
    <x v="18"/>
    <s v="PM"/>
    <x v="0"/>
    <x v="0"/>
    <x v="0"/>
    <n v="4"/>
    <n v="249.99"/>
    <s v="Credit Card"/>
    <x v="3"/>
    <s v="WE"/>
    <x v="2"/>
    <d v="2022-04-08T00:00:00"/>
    <n v="999.96"/>
    <d v="2026-01-20T00:00:00"/>
    <d v="2026-01-20T12:16:28"/>
    <n v="435"/>
    <d v="2024-11-30T00:00:00"/>
    <d v="2026-01-18T14:57:01"/>
  </r>
  <r>
    <s v="TRX0210"/>
    <x v="97"/>
    <x v="7"/>
    <x v="0"/>
    <s v="Nov-2024"/>
    <s v="CUST004"/>
    <x v="31"/>
    <s v="SD"/>
    <x v="2"/>
    <x v="2"/>
    <x v="2"/>
    <n v="5"/>
    <n v="149.99"/>
    <s v="PayPal"/>
    <x v="0"/>
    <s v="CE"/>
    <x v="0"/>
    <d v="2022-12-06T00:00:00"/>
    <n v="749.95"/>
    <d v="2026-01-20T00:00:00"/>
    <d v="2026-01-20T12:16:28"/>
    <n v="434"/>
    <d v="2024-11-30T00:00:00"/>
    <d v="2026-01-18T14:57:01"/>
  </r>
  <r>
    <s v="TRX0149"/>
    <x v="97"/>
    <x v="7"/>
    <x v="0"/>
    <s v="Nov-2024"/>
    <s v="CUST027"/>
    <x v="13"/>
    <s v="GA"/>
    <x v="1"/>
    <x v="1"/>
    <x v="1"/>
    <n v="3"/>
    <n v="59.99"/>
    <s v="Debit Card"/>
    <x v="1"/>
    <s v="SO"/>
    <x v="2"/>
    <d v="2023-11-30T00:00:00"/>
    <n v="179.97"/>
    <d v="2026-01-20T00:00:00"/>
    <d v="2026-01-20T12:16:28"/>
    <n v="434"/>
    <d v="2024-11-30T00:00:00"/>
    <d v="2026-01-18T14:57:01"/>
  </r>
  <r>
    <s v="TRX0073"/>
    <x v="98"/>
    <x v="7"/>
    <x v="0"/>
    <s v="Nov-2024"/>
    <s v="CUST032"/>
    <x v="42"/>
    <s v="SP"/>
    <x v="2"/>
    <x v="2"/>
    <x v="2"/>
    <n v="5"/>
    <n v="149.99"/>
    <s v="Cash"/>
    <x v="2"/>
    <s v="NO"/>
    <x v="0"/>
    <d v="2022-11-04T00:00:00"/>
    <n v="749.95"/>
    <d v="2026-01-20T00:00:00"/>
    <d v="2026-01-20T12:16:28"/>
    <n v="429"/>
    <d v="2024-11-30T00:00:00"/>
    <d v="2026-01-18T14:57:01"/>
  </r>
  <r>
    <s v="TRX0033"/>
    <x v="98"/>
    <x v="7"/>
    <x v="0"/>
    <s v="Nov-2024"/>
    <s v="CUST025"/>
    <x v="14"/>
    <s v="MC"/>
    <x v="5"/>
    <x v="5"/>
    <x v="0"/>
    <n v="2"/>
    <n v="699.99"/>
    <s v="PayPal"/>
    <x v="3"/>
    <s v="WE"/>
    <x v="2"/>
    <d v="2022-07-28T00:00:00"/>
    <n v="1399.98"/>
    <d v="2026-01-20T00:00:00"/>
    <d v="2026-01-20T12:16:28"/>
    <n v="429"/>
    <d v="2024-11-30T00:00:00"/>
    <d v="2026-01-18T14:57:01"/>
  </r>
  <r>
    <s v="TRX0160"/>
    <x v="99"/>
    <x v="7"/>
    <x v="0"/>
    <s v="Nov-2024"/>
    <s v="CUST029"/>
    <x v="23"/>
    <s v="EM"/>
    <x v="9"/>
    <x v="9"/>
    <x v="2"/>
    <n v="4"/>
    <n v="199.99"/>
    <s v="Debit Card"/>
    <x v="0"/>
    <s v="CE"/>
    <x v="1"/>
    <d v="2021-08-19T00:00:00"/>
    <n v="799.96"/>
    <d v="2026-01-20T00:00:00"/>
    <d v="2026-01-20T12:16:28"/>
    <n v="425"/>
    <d v="2024-11-30T00:00:00"/>
    <d v="2026-01-18T14:57:01"/>
  </r>
  <r>
    <s v="TRX0145"/>
    <x v="100"/>
    <x v="7"/>
    <x v="0"/>
    <s v="Nov-2024"/>
    <s v="CUST033"/>
    <x v="37"/>
    <s v="FT"/>
    <x v="1"/>
    <x v="1"/>
    <x v="1"/>
    <n v="1"/>
    <n v="59.99"/>
    <s v="Debit Card"/>
    <x v="3"/>
    <s v="WE"/>
    <x v="2"/>
    <d v="2021-12-30T00:00:00"/>
    <n v="59.99"/>
    <d v="2026-01-20T00:00:00"/>
    <d v="2026-01-20T12:16:28"/>
    <n v="423"/>
    <d v="2024-11-30T00:00:00"/>
    <d v="2026-01-18T14:57:01"/>
  </r>
  <r>
    <s v="TRX0148"/>
    <x v="100"/>
    <x v="7"/>
    <x v="0"/>
    <s v="Nov-2024"/>
    <s v="CUST004"/>
    <x v="31"/>
    <s v="SD"/>
    <x v="5"/>
    <x v="5"/>
    <x v="0"/>
    <n v="3"/>
    <n v="699.99"/>
    <s v="PayPal"/>
    <x v="3"/>
    <s v="WE"/>
    <x v="2"/>
    <d v="2022-01-22T00:00:00"/>
    <n v="2099.9699999999998"/>
    <d v="2026-01-20T00:00:00"/>
    <d v="2026-01-20T12:16:28"/>
    <n v="423"/>
    <d v="2024-11-30T00:00:00"/>
    <d v="2026-01-18T14:57:01"/>
  </r>
  <r>
    <s v="TRX0012"/>
    <x v="101"/>
    <x v="7"/>
    <x v="0"/>
    <s v="Nov-2024"/>
    <s v="CUST045"/>
    <x v="46"/>
    <s v="DW"/>
    <x v="0"/>
    <x v="0"/>
    <x v="0"/>
    <n v="5"/>
    <n v="249.99"/>
    <s v="Credit Card"/>
    <x v="2"/>
    <s v="NO"/>
    <x v="0"/>
    <d v="2022-11-08T00:00:00"/>
    <n v="1249.95"/>
    <d v="2026-01-20T00:00:00"/>
    <d v="2026-01-20T12:16:28"/>
    <n v="420"/>
    <d v="2024-11-30T00:00:00"/>
    <d v="2026-01-18T14:57:01"/>
  </r>
  <r>
    <s v="TRX0206"/>
    <x v="102"/>
    <x v="7"/>
    <x v="0"/>
    <s v="Nov-2024"/>
    <s v="CUST014"/>
    <x v="21"/>
    <s v="LM"/>
    <x v="2"/>
    <x v="2"/>
    <x v="2"/>
    <n v="2"/>
    <n v="149.99"/>
    <s v="Cash"/>
    <x v="1"/>
    <s v="SO"/>
    <x v="2"/>
    <d v="2023-06-24T00:00:00"/>
    <n v="299.98"/>
    <d v="2026-01-20T00:00:00"/>
    <d v="2026-01-20T12:16:28"/>
    <n v="419"/>
    <d v="2024-11-30T00:00:00"/>
    <d v="2026-01-18T14:57:01"/>
  </r>
  <r>
    <s v="TRX0045"/>
    <x v="103"/>
    <x v="8"/>
    <x v="0"/>
    <s v="Dec-2024"/>
    <s v="CUST021"/>
    <x v="2"/>
    <s v="KS"/>
    <x v="6"/>
    <x v="6"/>
    <x v="2"/>
    <n v="3"/>
    <n v="299.99"/>
    <s v="Cash"/>
    <x v="1"/>
    <s v="SO"/>
    <x v="1"/>
    <d v="2022-04-08T00:00:00"/>
    <n v="899.97"/>
    <d v="2026-01-20T00:00:00"/>
    <d v="2026-01-20T12:16:28"/>
    <n v="415"/>
    <d v="2024-12-31T00:00:00"/>
    <d v="2026-01-18T14:57:01"/>
  </r>
  <r>
    <s v="TRX0094"/>
    <x v="103"/>
    <x v="8"/>
    <x v="0"/>
    <s v="Dec-2024"/>
    <s v="CUST017"/>
    <x v="6"/>
    <s v="CA"/>
    <x v="0"/>
    <x v="0"/>
    <x v="0"/>
    <n v="5"/>
    <n v="249.99"/>
    <s v="Cash"/>
    <x v="0"/>
    <s v="CE"/>
    <x v="1"/>
    <d v="2021-10-16T00:00:00"/>
    <n v="1249.95"/>
    <d v="2026-01-20T00:00:00"/>
    <d v="2026-01-20T12:16:28"/>
    <n v="415"/>
    <d v="2024-12-31T00:00:00"/>
    <d v="2026-01-18T14:57:01"/>
  </r>
  <r>
    <s v="TRX0133"/>
    <x v="103"/>
    <x v="8"/>
    <x v="0"/>
    <s v="Dec-2024"/>
    <s v="CUST013"/>
    <x v="1"/>
    <s v="JJ"/>
    <x v="3"/>
    <x v="3"/>
    <x v="0"/>
    <n v="2"/>
    <n v="149.99"/>
    <s v="Cash"/>
    <x v="1"/>
    <s v="SO"/>
    <x v="1"/>
    <d v="2021-10-06T00:00:00"/>
    <n v="299.98"/>
    <d v="2026-01-20T00:00:00"/>
    <d v="2026-01-20T12:16:28"/>
    <n v="415"/>
    <d v="2024-12-31T00:00:00"/>
    <d v="2026-01-18T14:57:01"/>
  </r>
  <r>
    <s v="TRX0201"/>
    <x v="103"/>
    <x v="8"/>
    <x v="0"/>
    <s v="Dec-2024"/>
    <s v="CUST025"/>
    <x v="14"/>
    <s v="MC"/>
    <x v="5"/>
    <x v="5"/>
    <x v="0"/>
    <n v="5"/>
    <n v="699.99"/>
    <s v="Debit Card"/>
    <x v="3"/>
    <s v="WE"/>
    <x v="2"/>
    <d v="2023-01-18T00:00:00"/>
    <n v="3499.95"/>
    <d v="2026-01-20T00:00:00"/>
    <d v="2026-01-20T12:16:28"/>
    <n v="415"/>
    <d v="2024-12-31T00:00:00"/>
    <d v="2026-01-18T14:57:01"/>
  </r>
  <r>
    <s v="TRX0137"/>
    <x v="104"/>
    <x v="8"/>
    <x v="0"/>
    <s v="Dec-2024"/>
    <s v="CUST011"/>
    <x v="44"/>
    <s v="WW"/>
    <x v="0"/>
    <x v="0"/>
    <x v="0"/>
    <n v="4"/>
    <n v="249.99"/>
    <s v="PayPal"/>
    <x v="4"/>
    <s v="EA"/>
    <x v="1"/>
    <d v="2023-06-21T00:00:00"/>
    <n v="999.96"/>
    <d v="2026-01-20T00:00:00"/>
    <d v="2026-01-20T12:16:28"/>
    <n v="413"/>
    <d v="2024-12-31T00:00:00"/>
    <d v="2026-01-18T14:57:01"/>
  </r>
  <r>
    <s v="TRX0066"/>
    <x v="105"/>
    <x v="8"/>
    <x v="0"/>
    <s v="Dec-2024"/>
    <s v="CUST024"/>
    <x v="5"/>
    <s v="DN"/>
    <x v="5"/>
    <x v="5"/>
    <x v="0"/>
    <n v="4"/>
    <n v="699.99"/>
    <s v="Credit Card"/>
    <x v="2"/>
    <s v="NO"/>
    <x v="1"/>
    <d v="2022-05-22T00:00:00"/>
    <n v="2799.96"/>
    <d v="2026-01-20T00:00:00"/>
    <d v="2026-01-20T12:16:28"/>
    <n v="412"/>
    <d v="2024-12-31T00:00:00"/>
    <d v="2026-01-18T14:57:01"/>
  </r>
  <r>
    <s v="TRX0180"/>
    <x v="106"/>
    <x v="8"/>
    <x v="0"/>
    <s v="Dec-2024"/>
    <s v="CUST036"/>
    <x v="20"/>
    <s v="NC"/>
    <x v="0"/>
    <x v="0"/>
    <x v="0"/>
    <n v="2"/>
    <n v="249.99"/>
    <s v="Credit Card"/>
    <x v="0"/>
    <s v="CE"/>
    <x v="1"/>
    <d v="2021-07-19T00:00:00"/>
    <n v="499.98"/>
    <d v="2026-01-20T00:00:00"/>
    <d v="2026-01-20T12:16:28"/>
    <n v="407"/>
    <d v="2024-12-31T00:00:00"/>
    <d v="2026-01-18T14:57:01"/>
  </r>
  <r>
    <s v="TRX0082"/>
    <x v="106"/>
    <x v="8"/>
    <x v="0"/>
    <s v="Dec-2024"/>
    <s v="CUST005"/>
    <x v="47"/>
    <s v="JJ"/>
    <x v="1"/>
    <x v="1"/>
    <x v="1"/>
    <n v="3"/>
    <n v="59.99"/>
    <s v="Cash"/>
    <x v="0"/>
    <s v="CE"/>
    <x v="1"/>
    <d v="2023-05-06T00:00:00"/>
    <n v="179.97"/>
    <d v="2026-01-20T00:00:00"/>
    <d v="2026-01-20T12:16:28"/>
    <n v="407"/>
    <d v="2024-12-31T00:00:00"/>
    <d v="2026-01-18T14:57:01"/>
  </r>
  <r>
    <s v="TRX0036"/>
    <x v="106"/>
    <x v="8"/>
    <x v="0"/>
    <s v="Dec-2024"/>
    <s v="CUST008"/>
    <x v="27"/>
    <s v="JT"/>
    <x v="7"/>
    <x v="7"/>
    <x v="1"/>
    <n v="4"/>
    <n v="79.989999999999995"/>
    <s v="Debit Card"/>
    <x v="4"/>
    <s v="EA"/>
    <x v="2"/>
    <d v="2022-12-26T00:00:00"/>
    <n v="319.95999999999998"/>
    <d v="2026-01-20T00:00:00"/>
    <d v="2026-01-20T12:16:28"/>
    <n v="407"/>
    <d v="2024-12-31T00:00:00"/>
    <d v="2026-01-18T14:57:01"/>
  </r>
  <r>
    <s v="TRX0198"/>
    <x v="107"/>
    <x v="8"/>
    <x v="0"/>
    <s v="Dec-2024"/>
    <s v="CUST030"/>
    <x v="22"/>
    <s v="HR"/>
    <x v="7"/>
    <x v="7"/>
    <x v="1"/>
    <n v="3"/>
    <n v="79.989999999999995"/>
    <s v="Debit Card"/>
    <x v="4"/>
    <s v="EA"/>
    <x v="2"/>
    <d v="2022-08-06T00:00:00"/>
    <n v="239.97"/>
    <d v="2026-01-20T00:00:00"/>
    <d v="2026-01-20T12:16:28"/>
    <n v="406"/>
    <d v="2024-12-31T00:00:00"/>
    <d v="2026-01-18T14:57:01"/>
  </r>
  <r>
    <s v="TRX0032"/>
    <x v="108"/>
    <x v="8"/>
    <x v="0"/>
    <s v="Dec-2024"/>
    <s v="CUST041"/>
    <x v="10"/>
    <s v="PR"/>
    <x v="4"/>
    <x v="4"/>
    <x v="0"/>
    <n v="2"/>
    <n v="899.99"/>
    <s v="Cash"/>
    <x v="2"/>
    <s v="NO"/>
    <x v="0"/>
    <d v="2021-07-29T00:00:00"/>
    <n v="1799.98"/>
    <d v="2026-01-20T00:00:00"/>
    <d v="2026-01-20T12:16:28"/>
    <n v="404"/>
    <d v="2024-12-31T00:00:00"/>
    <d v="2026-01-18T14:57:01"/>
  </r>
  <r>
    <s v="TRX0081"/>
    <x v="109"/>
    <x v="8"/>
    <x v="0"/>
    <s v="Dec-2024"/>
    <s v="CUST007"/>
    <x v="35"/>
    <s v="DM"/>
    <x v="2"/>
    <x v="2"/>
    <x v="2"/>
    <n v="1"/>
    <n v="149.99"/>
    <s v="Debit Card"/>
    <x v="4"/>
    <s v="EA"/>
    <x v="2"/>
    <d v="2023-10-01T00:00:00"/>
    <n v="149.99"/>
    <d v="2026-01-20T00:00:00"/>
    <d v="2026-01-20T12:16:28"/>
    <n v="401"/>
    <d v="2024-12-31T00:00:00"/>
    <d v="2026-01-18T14:57:01"/>
  </r>
  <r>
    <s v="TRX0224"/>
    <x v="109"/>
    <x v="8"/>
    <x v="0"/>
    <s v="Dec-2024"/>
    <s v="CUST031"/>
    <x v="26"/>
    <s v="ST"/>
    <x v="6"/>
    <x v="6"/>
    <x v="2"/>
    <n v="2"/>
    <n v="299.99"/>
    <s v="Cash"/>
    <x v="4"/>
    <s v="EA"/>
    <x v="1"/>
    <d v="2022-06-12T00:00:00"/>
    <n v="599.98"/>
    <d v="2026-01-20T00:00:00"/>
    <d v="2026-01-20T12:16:28"/>
    <n v="401"/>
    <d v="2024-12-31T00:00:00"/>
    <d v="2026-01-18T14:57:01"/>
  </r>
  <r>
    <s v="TRX0028"/>
    <x v="110"/>
    <x v="8"/>
    <x v="0"/>
    <s v="Dec-2024"/>
    <s v="CUST002"/>
    <x v="25"/>
    <s v="EW"/>
    <x v="1"/>
    <x v="1"/>
    <x v="1"/>
    <n v="2"/>
    <n v="59.99"/>
    <s v="Cash"/>
    <x v="3"/>
    <s v="WE"/>
    <x v="0"/>
    <d v="2023-09-22T00:00:00"/>
    <n v="119.98"/>
    <d v="2026-01-20T00:00:00"/>
    <d v="2026-01-20T12:16:28"/>
    <n v="398"/>
    <d v="2024-12-31T00:00:00"/>
    <d v="2026-01-18T14:57:01"/>
  </r>
  <r>
    <s v="TRX0183"/>
    <x v="111"/>
    <x v="8"/>
    <x v="0"/>
    <s v="Dec-2024"/>
    <s v="CUST007"/>
    <x v="35"/>
    <s v="DM"/>
    <x v="8"/>
    <x v="8"/>
    <x v="0"/>
    <n v="1"/>
    <n v="89.99"/>
    <s v="Debit Card"/>
    <x v="0"/>
    <s v="CE"/>
    <x v="2"/>
    <d v="2022-07-18T00:00:00"/>
    <n v="89.99"/>
    <d v="2026-01-20T00:00:00"/>
    <d v="2026-01-20T12:16:28"/>
    <n v="397"/>
    <d v="2024-12-31T00:00:00"/>
    <d v="2026-01-18T14:57:01"/>
  </r>
  <r>
    <s v="TRX0163"/>
    <x v="111"/>
    <x v="8"/>
    <x v="0"/>
    <s v="Dec-2024"/>
    <s v="CUST019"/>
    <x v="29"/>
    <s v="DK"/>
    <x v="4"/>
    <x v="4"/>
    <x v="0"/>
    <n v="5"/>
    <n v="899.99"/>
    <s v="Debit Card"/>
    <x v="4"/>
    <s v="EA"/>
    <x v="2"/>
    <d v="2022-03-05T00:00:00"/>
    <n v="4499.95"/>
    <d v="2026-01-20T00:00:00"/>
    <d v="2026-01-20T12:16:28"/>
    <n v="397"/>
    <d v="2024-12-31T00:00:00"/>
    <d v="2026-01-18T14:57:01"/>
  </r>
  <r>
    <s v="TRX0046"/>
    <x v="112"/>
    <x v="8"/>
    <x v="0"/>
    <s v="Dec-2024"/>
    <s v="CUST003"/>
    <x v="4"/>
    <s v="MB"/>
    <x v="2"/>
    <x v="2"/>
    <x v="2"/>
    <n v="2"/>
    <n v="149.99"/>
    <s v="Cash"/>
    <x v="1"/>
    <s v="SO"/>
    <x v="0"/>
    <d v="2023-11-09T00:00:00"/>
    <n v="299.98"/>
    <d v="2026-01-20T00:00:00"/>
    <d v="2026-01-20T12:16:28"/>
    <n v="396"/>
    <d v="2024-12-31T00:00:00"/>
    <d v="2026-01-18T14:57:01"/>
  </r>
  <r>
    <s v="TRX0164"/>
    <x v="113"/>
    <x v="8"/>
    <x v="0"/>
    <s v="Dec-2024"/>
    <s v="CUST014"/>
    <x v="21"/>
    <s v="LM"/>
    <x v="3"/>
    <x v="3"/>
    <x v="0"/>
    <n v="2"/>
    <n v="149.99"/>
    <s v="Debit Card"/>
    <x v="3"/>
    <s v="WE"/>
    <x v="1"/>
    <d v="2023-12-20T00:00:00"/>
    <n v="299.98"/>
    <d v="2026-01-20T00:00:00"/>
    <d v="2026-01-20T12:16:28"/>
    <n v="394"/>
    <d v="2024-12-31T00:00:00"/>
    <d v="2026-01-18T14:57:01"/>
  </r>
  <r>
    <s v="TRX0008"/>
    <x v="113"/>
    <x v="8"/>
    <x v="0"/>
    <s v="Dec-2024"/>
    <s v="CUST007"/>
    <x v="35"/>
    <s v="DM"/>
    <x v="2"/>
    <x v="2"/>
    <x v="2"/>
    <n v="3"/>
    <n v="149.99"/>
    <s v="Debit Card"/>
    <x v="2"/>
    <s v="NO"/>
    <x v="2"/>
    <d v="2021-11-22T00:00:00"/>
    <n v="449.97"/>
    <d v="2026-01-20T00:00:00"/>
    <d v="2026-01-20T12:16:28"/>
    <n v="394"/>
    <d v="2024-12-31T00:00:00"/>
    <d v="2026-01-18T14:57:01"/>
  </r>
  <r>
    <s v="TRX0171"/>
    <x v="114"/>
    <x v="8"/>
    <x v="0"/>
    <s v="Dec-2024"/>
    <s v="CUST021"/>
    <x v="2"/>
    <s v="KS"/>
    <x v="6"/>
    <x v="6"/>
    <x v="2"/>
    <n v="2"/>
    <n v="299.99"/>
    <s v="PayPal"/>
    <x v="1"/>
    <s v="SO"/>
    <x v="0"/>
    <d v="2022-06-09T00:00:00"/>
    <n v="599.98"/>
    <d v="2026-01-20T00:00:00"/>
    <d v="2026-01-20T12:16:28"/>
    <n v="393"/>
    <d v="2024-12-31T00:00:00"/>
    <d v="2026-01-18T14:57:01"/>
  </r>
  <r>
    <s v="TRX0143"/>
    <x v="115"/>
    <x v="8"/>
    <x v="0"/>
    <s v="Dec-2024"/>
    <s v="CUST003"/>
    <x v="4"/>
    <s v="MB"/>
    <x v="6"/>
    <x v="6"/>
    <x v="2"/>
    <n v="2"/>
    <n v="299.99"/>
    <s v="Cash"/>
    <x v="3"/>
    <s v="WE"/>
    <x v="0"/>
    <d v="2022-07-29T00:00:00"/>
    <n v="599.98"/>
    <d v="2026-01-20T00:00:00"/>
    <d v="2026-01-20T12:16:28"/>
    <n v="388"/>
    <d v="2024-12-31T00:00:00"/>
    <d v="2026-01-18T14:57:01"/>
  </r>
  <r>
    <s v="TRX0165"/>
    <x v="115"/>
    <x v="8"/>
    <x v="0"/>
    <s v="Dec-2024"/>
    <s v="CUST030"/>
    <x v="22"/>
    <s v="HR"/>
    <x v="9"/>
    <x v="9"/>
    <x v="2"/>
    <n v="4"/>
    <n v="199.99"/>
    <s v="Credit Card"/>
    <x v="0"/>
    <s v="CE"/>
    <x v="0"/>
    <d v="2021-11-23T00:00:00"/>
    <n v="799.96"/>
    <d v="2026-01-20T00:00:00"/>
    <d v="2026-01-20T12:16:28"/>
    <n v="388"/>
    <d v="2024-12-31T00:00:00"/>
    <d v="2026-01-18T14:57:01"/>
  </r>
  <r>
    <s v="TRX0156"/>
    <x v="116"/>
    <x v="8"/>
    <x v="0"/>
    <s v="Dec-2024"/>
    <s v="CUST009"/>
    <x v="7"/>
    <s v="RT"/>
    <x v="8"/>
    <x v="8"/>
    <x v="0"/>
    <n v="1"/>
    <n v="89.99"/>
    <s v="Credit Card"/>
    <x v="1"/>
    <s v="SO"/>
    <x v="1"/>
    <d v="2022-01-30T00:00:00"/>
    <n v="89.99"/>
    <d v="2026-01-20T00:00:00"/>
    <d v="2026-01-20T12:16:28"/>
    <n v="387"/>
    <d v="2024-12-31T00:00:00"/>
    <d v="2026-01-18T14:57:01"/>
  </r>
  <r>
    <s v="TRX0147"/>
    <x v="116"/>
    <x v="8"/>
    <x v="0"/>
    <s v="Dec-2024"/>
    <s v="CUST036"/>
    <x v="20"/>
    <s v="NC"/>
    <x v="2"/>
    <x v="2"/>
    <x v="2"/>
    <n v="5"/>
    <n v="149.99"/>
    <s v="Cash"/>
    <x v="0"/>
    <s v="CE"/>
    <x v="1"/>
    <d v="2024-02-25T00:00:00"/>
    <n v="749.95"/>
    <d v="2026-01-20T00:00:00"/>
    <d v="2026-01-20T12:16:28"/>
    <n v="387"/>
    <d v="2024-12-31T00:00:00"/>
    <d v="2026-01-18T14:57:01"/>
  </r>
  <r>
    <s v="TRX0207"/>
    <x v="117"/>
    <x v="8"/>
    <x v="0"/>
    <s v="Dec-2024"/>
    <s v="CUST025"/>
    <x v="14"/>
    <s v="MC"/>
    <x v="4"/>
    <x v="4"/>
    <x v="0"/>
    <n v="1"/>
    <n v="899.99"/>
    <s v="PayPal"/>
    <x v="2"/>
    <s v="NO"/>
    <x v="1"/>
    <d v="2023-05-04T00:00:00"/>
    <n v="899.99"/>
    <d v="2026-01-20T00:00:00"/>
    <d v="2026-01-20T12:16:28"/>
    <n v="385"/>
    <d v="2024-12-31T00:00:00"/>
    <d v="2026-01-18T14:57:01"/>
  </r>
  <r>
    <s v="TRX0056"/>
    <x v="118"/>
    <x v="9"/>
    <x v="1"/>
    <s v="Jan-2025"/>
    <s v="CUST019"/>
    <x v="29"/>
    <s v="DK"/>
    <x v="8"/>
    <x v="8"/>
    <x v="0"/>
    <n v="2"/>
    <n v="89.99"/>
    <s v="Credit Card"/>
    <x v="1"/>
    <s v="SO"/>
    <x v="1"/>
    <d v="2022-01-03T00:00:00"/>
    <n v="179.98"/>
    <d v="2026-01-20T00:00:00"/>
    <d v="2026-01-20T12:16:28"/>
    <n v="382"/>
    <d v="2025-01-31T00:00:00"/>
    <d v="2026-01-18T14:57:01"/>
  </r>
  <r>
    <s v="TRX0026"/>
    <x v="119"/>
    <x v="9"/>
    <x v="1"/>
    <s v="Jan-2025"/>
    <s v="CUST037"/>
    <x v="48"/>
    <s v="AE"/>
    <x v="4"/>
    <x v="4"/>
    <x v="0"/>
    <n v="1"/>
    <n v="899.99"/>
    <s v="PayPal"/>
    <x v="2"/>
    <s v="NO"/>
    <x v="2"/>
    <d v="2022-07-10T00:00:00"/>
    <n v="899.99"/>
    <d v="2026-01-20T00:00:00"/>
    <d v="2026-01-20T12:16:28"/>
    <n v="381"/>
    <d v="2025-01-31T00:00:00"/>
    <d v="2026-01-18T14:57:01"/>
  </r>
  <r>
    <s v="TRX0237"/>
    <x v="120"/>
    <x v="9"/>
    <x v="1"/>
    <s v="Jan-2025"/>
    <s v="CUST006"/>
    <x v="24"/>
    <s v="LA"/>
    <x v="3"/>
    <x v="3"/>
    <x v="0"/>
    <n v="5"/>
    <n v="149.99"/>
    <s v="PayPal"/>
    <x v="4"/>
    <s v="EA"/>
    <x v="1"/>
    <d v="2022-09-20T00:00:00"/>
    <n v="749.95"/>
    <d v="2026-01-20T00:00:00"/>
    <d v="2026-01-20T12:16:28"/>
    <n v="379"/>
    <d v="2025-01-31T00:00:00"/>
    <d v="2026-01-18T14:57:01"/>
  </r>
  <r>
    <s v="TRX0091"/>
    <x v="120"/>
    <x v="9"/>
    <x v="1"/>
    <s v="Jan-2025"/>
    <s v="CUST003"/>
    <x v="4"/>
    <s v="MB"/>
    <x v="6"/>
    <x v="6"/>
    <x v="2"/>
    <n v="3"/>
    <n v="299.99"/>
    <s v="Cash"/>
    <x v="1"/>
    <s v="SO"/>
    <x v="2"/>
    <d v="2021-08-14T00:00:00"/>
    <n v="899.97"/>
    <d v="2026-01-20T00:00:00"/>
    <d v="2026-01-20T12:16:28"/>
    <n v="379"/>
    <d v="2025-01-31T00:00:00"/>
    <d v="2026-01-18T14:57:01"/>
  </r>
  <r>
    <s v="TRX0125"/>
    <x v="121"/>
    <x v="9"/>
    <x v="1"/>
    <s v="Jan-2025"/>
    <s v="CUST026"/>
    <x v="8"/>
    <s v="KH"/>
    <x v="5"/>
    <x v="5"/>
    <x v="0"/>
    <n v="3"/>
    <n v="699.99"/>
    <s v="Credit Card"/>
    <x v="0"/>
    <s v="CE"/>
    <x v="1"/>
    <d v="2023-06-28T00:00:00"/>
    <n v="2099.9699999999998"/>
    <d v="2026-01-20T00:00:00"/>
    <d v="2026-01-20T12:16:28"/>
    <n v="376"/>
    <d v="2025-01-31T00:00:00"/>
    <d v="2026-01-18T14:57:01"/>
  </r>
  <r>
    <s v="TRX0223"/>
    <x v="122"/>
    <x v="9"/>
    <x v="1"/>
    <s v="Jan-2025"/>
    <s v="CUST036"/>
    <x v="20"/>
    <s v="NC"/>
    <x v="9"/>
    <x v="9"/>
    <x v="2"/>
    <n v="5"/>
    <n v="199.99"/>
    <s v="PayPal"/>
    <x v="0"/>
    <s v="CE"/>
    <x v="2"/>
    <d v="2022-03-13T00:00:00"/>
    <n v="999.95"/>
    <d v="2026-01-20T00:00:00"/>
    <d v="2026-01-20T12:16:28"/>
    <n v="375"/>
    <d v="2025-01-31T00:00:00"/>
    <d v="2026-01-18T14:57:01"/>
  </r>
  <r>
    <s v="TRX0243"/>
    <x v="122"/>
    <x v="9"/>
    <x v="1"/>
    <s v="Jan-2025"/>
    <s v="CUST048"/>
    <x v="16"/>
    <s v="VS"/>
    <x v="0"/>
    <x v="0"/>
    <x v="0"/>
    <n v="5"/>
    <n v="249.99"/>
    <s v="Credit Card"/>
    <x v="1"/>
    <s v="SO"/>
    <x v="0"/>
    <d v="2024-02-08T00:00:00"/>
    <n v="1249.95"/>
    <d v="2026-01-20T00:00:00"/>
    <d v="2026-01-20T12:16:28"/>
    <n v="375"/>
    <d v="2025-01-31T00:00:00"/>
    <d v="2026-01-18T14:57:01"/>
  </r>
  <r>
    <s v="TRX0084"/>
    <x v="123"/>
    <x v="9"/>
    <x v="1"/>
    <s v="Jan-2025"/>
    <s v="CUST031"/>
    <x v="26"/>
    <s v="ST"/>
    <x v="3"/>
    <x v="3"/>
    <x v="0"/>
    <n v="4"/>
    <n v="149.99"/>
    <s v="Debit Card"/>
    <x v="4"/>
    <s v="EA"/>
    <x v="2"/>
    <d v="2021-12-06T00:00:00"/>
    <n v="599.96"/>
    <d v="2026-01-20T00:00:00"/>
    <d v="2026-01-20T12:16:28"/>
    <n v="374"/>
    <d v="2025-01-31T00:00:00"/>
    <d v="2026-01-18T14:57:01"/>
  </r>
  <r>
    <s v="TRX0238"/>
    <x v="123"/>
    <x v="9"/>
    <x v="1"/>
    <s v="Jan-2025"/>
    <s v="CUST038"/>
    <x v="12"/>
    <s v="MR"/>
    <x v="5"/>
    <x v="5"/>
    <x v="0"/>
    <n v="3"/>
    <n v="699.99"/>
    <s v="Cash"/>
    <x v="2"/>
    <s v="NO"/>
    <x v="1"/>
    <d v="2022-02-10T00:00:00"/>
    <n v="2099.9699999999998"/>
    <d v="2026-01-20T00:00:00"/>
    <d v="2026-01-20T12:16:28"/>
    <n v="374"/>
    <d v="2025-01-31T00:00:00"/>
    <d v="2026-01-18T14:57:01"/>
  </r>
  <r>
    <s v="TRX0102"/>
    <x v="124"/>
    <x v="9"/>
    <x v="1"/>
    <s v="Jan-2025"/>
    <s v="CUST045"/>
    <x v="46"/>
    <s v="DW"/>
    <x v="7"/>
    <x v="7"/>
    <x v="1"/>
    <n v="1"/>
    <n v="79.989999999999995"/>
    <s v="Credit Card"/>
    <x v="1"/>
    <s v="SO"/>
    <x v="0"/>
    <d v="2024-01-31T00:00:00"/>
    <n v="79.989999999999995"/>
    <d v="2026-01-20T00:00:00"/>
    <d v="2026-01-20T12:16:28"/>
    <n v="372"/>
    <d v="2025-01-31T00:00:00"/>
    <d v="2026-01-18T14:57:01"/>
  </r>
  <r>
    <s v="TRX0022"/>
    <x v="124"/>
    <x v="9"/>
    <x v="1"/>
    <s v="Jan-2025"/>
    <s v="CUST025"/>
    <x v="14"/>
    <s v="MC"/>
    <x v="6"/>
    <x v="6"/>
    <x v="2"/>
    <n v="1"/>
    <n v="299.99"/>
    <s v="Credit Card"/>
    <x v="2"/>
    <s v="NO"/>
    <x v="0"/>
    <d v="2021-08-28T00:00:00"/>
    <n v="299.99"/>
    <d v="2026-01-20T00:00:00"/>
    <d v="2026-01-20T12:16:28"/>
    <n v="372"/>
    <d v="2025-01-31T00:00:00"/>
    <d v="2026-01-18T14:57:01"/>
  </r>
  <r>
    <s v="TRX0087"/>
    <x v="125"/>
    <x v="9"/>
    <x v="1"/>
    <s v="Jan-2025"/>
    <s v="CUST028"/>
    <x v="32"/>
    <s v="BC"/>
    <x v="0"/>
    <x v="0"/>
    <x v="0"/>
    <n v="4"/>
    <n v="249.99"/>
    <s v="Credit Card"/>
    <x v="2"/>
    <s v="NO"/>
    <x v="1"/>
    <d v="2021-09-21T00:00:00"/>
    <n v="999.96"/>
    <d v="2026-01-20T00:00:00"/>
    <d v="2026-01-20T12:16:28"/>
    <n v="371"/>
    <d v="2025-01-31T00:00:00"/>
    <d v="2026-01-18T14:57:01"/>
  </r>
  <r>
    <s v="TRX0107"/>
    <x v="125"/>
    <x v="9"/>
    <x v="1"/>
    <s v="Jan-2025"/>
    <s v="CUST030"/>
    <x v="22"/>
    <s v="HR"/>
    <x v="3"/>
    <x v="3"/>
    <x v="0"/>
    <n v="2"/>
    <n v="149.99"/>
    <s v="Cash"/>
    <x v="2"/>
    <s v="NO"/>
    <x v="2"/>
    <d v="2022-12-18T00:00:00"/>
    <n v="299.98"/>
    <d v="2026-01-20T00:00:00"/>
    <d v="2026-01-20T12:16:28"/>
    <n v="371"/>
    <d v="2025-01-31T00:00:00"/>
    <d v="2026-01-18T14:57:01"/>
  </r>
  <r>
    <s v="TRX0051"/>
    <x v="125"/>
    <x v="9"/>
    <x v="1"/>
    <s v="Jan-2025"/>
    <s v="CUST032"/>
    <x v="42"/>
    <s v="SP"/>
    <x v="6"/>
    <x v="6"/>
    <x v="2"/>
    <n v="3"/>
    <n v="299.99"/>
    <s v="Credit Card"/>
    <x v="1"/>
    <s v="SO"/>
    <x v="0"/>
    <d v="2023-10-05T00:00:00"/>
    <n v="899.97"/>
    <d v="2026-01-20T00:00:00"/>
    <d v="2026-01-20T12:16:28"/>
    <n v="371"/>
    <d v="2025-01-31T00:00:00"/>
    <d v="2026-01-18T14:57:01"/>
  </r>
  <r>
    <s v="TRX0106"/>
    <x v="126"/>
    <x v="9"/>
    <x v="1"/>
    <s v="Jan-2025"/>
    <s v="CUST039"/>
    <x v="40"/>
    <s v="LR"/>
    <x v="9"/>
    <x v="9"/>
    <x v="2"/>
    <n v="4"/>
    <n v="199.99"/>
    <s v="Debit Card"/>
    <x v="1"/>
    <s v="SO"/>
    <x v="2"/>
    <d v="2021-12-14T00:00:00"/>
    <n v="799.96"/>
    <d v="2026-01-20T00:00:00"/>
    <d v="2026-01-20T12:16:28"/>
    <n v="369"/>
    <d v="2025-01-31T00:00:00"/>
    <d v="2026-01-18T14:57:01"/>
  </r>
  <r>
    <s v="TRX0059"/>
    <x v="126"/>
    <x v="9"/>
    <x v="1"/>
    <s v="Jan-2025"/>
    <s v="CUST016"/>
    <x v="39"/>
    <s v="EH"/>
    <x v="6"/>
    <x v="6"/>
    <x v="2"/>
    <n v="5"/>
    <n v="299.99"/>
    <s v="Debit Card"/>
    <x v="0"/>
    <s v="CE"/>
    <x v="0"/>
    <d v="2021-08-23T00:00:00"/>
    <n v="1499.95"/>
    <d v="2026-01-20T00:00:00"/>
    <d v="2026-01-20T12:16:28"/>
    <n v="369"/>
    <d v="2025-01-31T00:00:00"/>
    <d v="2026-01-18T14:57:01"/>
  </r>
  <r>
    <s v="TRX0072"/>
    <x v="126"/>
    <x v="9"/>
    <x v="1"/>
    <s v="Jan-2025"/>
    <s v="CUST009"/>
    <x v="7"/>
    <s v="RT"/>
    <x v="2"/>
    <x v="2"/>
    <x v="2"/>
    <n v="3"/>
    <n v="149.99"/>
    <s v="Credit Card"/>
    <x v="4"/>
    <s v="EA"/>
    <x v="2"/>
    <d v="2021-07-18T00:00:00"/>
    <n v="449.97"/>
    <d v="2026-01-20T00:00:00"/>
    <d v="2026-01-20T12:16:28"/>
    <n v="369"/>
    <d v="2025-01-31T00:00:00"/>
    <d v="2026-01-18T14:57:01"/>
  </r>
  <r>
    <s v="TRX0110"/>
    <x v="127"/>
    <x v="9"/>
    <x v="1"/>
    <s v="Jan-2025"/>
    <s v="CUST006"/>
    <x v="24"/>
    <s v="LA"/>
    <x v="1"/>
    <x v="1"/>
    <x v="1"/>
    <n v="5"/>
    <n v="59.99"/>
    <s v="Debit Card"/>
    <x v="4"/>
    <s v="EA"/>
    <x v="0"/>
    <d v="2022-03-22T00:00:00"/>
    <n v="299.95"/>
    <d v="2026-01-20T00:00:00"/>
    <d v="2026-01-20T12:16:28"/>
    <n v="366"/>
    <d v="2025-01-31T00:00:00"/>
    <d v="2026-01-18T14:57:01"/>
  </r>
  <r>
    <s v="TRX0126"/>
    <x v="128"/>
    <x v="9"/>
    <x v="1"/>
    <s v="Jan-2025"/>
    <s v="CUST022"/>
    <x v="9"/>
    <s v="SG"/>
    <x v="1"/>
    <x v="1"/>
    <x v="1"/>
    <n v="4"/>
    <n v="59.99"/>
    <s v="Debit Card"/>
    <x v="4"/>
    <s v="EA"/>
    <x v="2"/>
    <d v="2022-01-03T00:00:00"/>
    <n v="239.96"/>
    <d v="2026-01-20T00:00:00"/>
    <d v="2026-01-20T12:16:28"/>
    <n v="360"/>
    <d v="2025-01-31T00:00:00"/>
    <d v="2026-01-18T14:57:01"/>
  </r>
  <r>
    <s v="TRX0159"/>
    <x v="129"/>
    <x v="9"/>
    <x v="1"/>
    <s v="Jan-2025"/>
    <s v="CUST024"/>
    <x v="5"/>
    <s v="DN"/>
    <x v="0"/>
    <x v="0"/>
    <x v="0"/>
    <n v="4"/>
    <n v="249.99"/>
    <s v="Debit Card"/>
    <x v="0"/>
    <s v="CE"/>
    <x v="1"/>
    <d v="2023-10-18T00:00:00"/>
    <n v="999.96"/>
    <d v="2026-01-20T00:00:00"/>
    <d v="2026-01-20T12:16:28"/>
    <n v="359"/>
    <d v="2025-01-31T00:00:00"/>
    <d v="2026-01-18T14:57:01"/>
  </r>
  <r>
    <s v="TRX0030"/>
    <x v="130"/>
    <x v="9"/>
    <x v="1"/>
    <s v="Jan-2025"/>
    <s v="CUST011"/>
    <x v="44"/>
    <s v="WW"/>
    <x v="4"/>
    <x v="4"/>
    <x v="0"/>
    <n v="4"/>
    <n v="899.99"/>
    <s v="PayPal"/>
    <x v="0"/>
    <s v="CE"/>
    <x v="0"/>
    <d v="2022-06-22T00:00:00"/>
    <n v="3599.96"/>
    <d v="2026-01-20T00:00:00"/>
    <d v="2026-01-20T12:16:28"/>
    <n v="356"/>
    <d v="2025-01-31T00:00:00"/>
    <d v="2026-01-18T14:57:01"/>
  </r>
  <r>
    <s v="TRX0178"/>
    <x v="130"/>
    <x v="9"/>
    <x v="1"/>
    <s v="Jan-2025"/>
    <s v="CUST025"/>
    <x v="14"/>
    <s v="MC"/>
    <x v="6"/>
    <x v="6"/>
    <x v="2"/>
    <n v="3"/>
    <n v="299.99"/>
    <s v="Debit Card"/>
    <x v="3"/>
    <s v="WE"/>
    <x v="2"/>
    <d v="2023-01-26T00:00:00"/>
    <n v="899.97"/>
    <d v="2026-01-20T00:00:00"/>
    <d v="2026-01-20T12:16:28"/>
    <n v="356"/>
    <d v="2025-01-31T00:00:00"/>
    <d v="2026-01-18T14:57:01"/>
  </r>
  <r>
    <s v="TRX0188"/>
    <x v="130"/>
    <x v="9"/>
    <x v="1"/>
    <s v="Jan-2025"/>
    <s v="CUST045"/>
    <x v="46"/>
    <s v="DW"/>
    <x v="5"/>
    <x v="5"/>
    <x v="0"/>
    <n v="2"/>
    <n v="699.99"/>
    <s v="Debit Card"/>
    <x v="0"/>
    <s v="CE"/>
    <x v="1"/>
    <d v="2022-04-30T00:00:00"/>
    <n v="1399.98"/>
    <d v="2026-01-20T00:00:00"/>
    <d v="2026-01-20T12:16:28"/>
    <n v="356"/>
    <d v="2025-01-31T00:00:00"/>
    <d v="2026-01-18T14:57:01"/>
  </r>
  <r>
    <s v="TRX0010"/>
    <x v="131"/>
    <x v="9"/>
    <x v="1"/>
    <s v="Jan-2025"/>
    <s v="CUST026"/>
    <x v="8"/>
    <s v="KH"/>
    <x v="5"/>
    <x v="5"/>
    <x v="0"/>
    <n v="4"/>
    <n v="699.99"/>
    <s v="Debit Card"/>
    <x v="3"/>
    <s v="WE"/>
    <x v="1"/>
    <d v="2022-05-11T00:00:00"/>
    <n v="2799.96"/>
    <d v="2026-01-20T00:00:00"/>
    <d v="2026-01-20T12:16:28"/>
    <n v="354"/>
    <d v="2025-01-31T00:00:00"/>
    <d v="2026-01-18T14:57:01"/>
  </r>
  <r>
    <s v="TRX0069"/>
    <x v="131"/>
    <x v="9"/>
    <x v="1"/>
    <s v="Jan-2025"/>
    <s v="CUST029"/>
    <x v="23"/>
    <s v="EM"/>
    <x v="8"/>
    <x v="8"/>
    <x v="0"/>
    <n v="2"/>
    <n v="89.99"/>
    <s v="Debit Card"/>
    <x v="1"/>
    <s v="SO"/>
    <x v="0"/>
    <d v="2022-08-04T00:00:00"/>
    <n v="179.98"/>
    <d v="2026-01-20T00:00:00"/>
    <d v="2026-01-20T12:16:28"/>
    <n v="354"/>
    <d v="2025-01-31T00:00:00"/>
    <d v="2026-01-18T14:57:01"/>
  </r>
  <r>
    <s v="TRX0166"/>
    <x v="131"/>
    <x v="9"/>
    <x v="1"/>
    <s v="Jan-2025"/>
    <s v="CUST003"/>
    <x v="4"/>
    <s v="MB"/>
    <x v="8"/>
    <x v="8"/>
    <x v="0"/>
    <n v="3"/>
    <n v="89.99"/>
    <s v="Debit Card"/>
    <x v="1"/>
    <s v="SO"/>
    <x v="1"/>
    <d v="2024-01-16T00:00:00"/>
    <n v="269.97000000000003"/>
    <d v="2026-01-20T00:00:00"/>
    <d v="2026-01-20T12:16:28"/>
    <n v="354"/>
    <d v="2025-01-31T00:00:00"/>
    <d v="2026-01-18T14:57:01"/>
  </r>
  <r>
    <s v="TRX0219"/>
    <x v="132"/>
    <x v="10"/>
    <x v="1"/>
    <s v="Feb-2025"/>
    <s v="CUST037"/>
    <x v="48"/>
    <s v="AE"/>
    <x v="1"/>
    <x v="1"/>
    <x v="1"/>
    <n v="1"/>
    <n v="59.99"/>
    <s v="Debit Card"/>
    <x v="0"/>
    <s v="CE"/>
    <x v="2"/>
    <d v="2023-04-29T00:00:00"/>
    <n v="59.99"/>
    <d v="2026-01-20T00:00:00"/>
    <d v="2026-01-20T12:16:28"/>
    <n v="350"/>
    <d v="2025-02-28T00:00:00"/>
    <d v="2026-01-18T14:57:01"/>
  </r>
  <r>
    <s v="TRX0024"/>
    <x v="133"/>
    <x v="10"/>
    <x v="1"/>
    <s v="Feb-2025"/>
    <s v="CUST042"/>
    <x v="43"/>
    <s v="RB"/>
    <x v="2"/>
    <x v="2"/>
    <x v="2"/>
    <n v="3"/>
    <n v="149.99"/>
    <s v="Debit Card"/>
    <x v="2"/>
    <s v="NO"/>
    <x v="1"/>
    <d v="2022-01-03T00:00:00"/>
    <n v="449.97"/>
    <d v="2026-01-20T00:00:00"/>
    <d v="2026-01-20T12:16:28"/>
    <n v="347"/>
    <d v="2025-02-28T00:00:00"/>
    <d v="2026-01-18T14:57:01"/>
  </r>
  <r>
    <s v="TRX0105"/>
    <x v="133"/>
    <x v="10"/>
    <x v="1"/>
    <s v="Feb-2025"/>
    <s v="CUST048"/>
    <x v="16"/>
    <s v="VS"/>
    <x v="6"/>
    <x v="6"/>
    <x v="2"/>
    <n v="5"/>
    <n v="299.99"/>
    <s v="Credit Card"/>
    <x v="1"/>
    <s v="SO"/>
    <x v="0"/>
    <d v="2023-02-02T00:00:00"/>
    <n v="1499.95"/>
    <d v="2026-01-20T00:00:00"/>
    <d v="2026-01-20T12:16:28"/>
    <n v="347"/>
    <d v="2025-02-28T00:00:00"/>
    <d v="2026-01-18T14:57:01"/>
  </r>
  <r>
    <s v="TRX0011"/>
    <x v="134"/>
    <x v="10"/>
    <x v="1"/>
    <s v="Feb-2025"/>
    <s v="CUST040"/>
    <x v="30"/>
    <s v="SB"/>
    <x v="1"/>
    <x v="1"/>
    <x v="1"/>
    <n v="5"/>
    <n v="59.99"/>
    <s v="Debit Card"/>
    <x v="0"/>
    <s v="CE"/>
    <x v="2"/>
    <d v="2023-09-08T00:00:00"/>
    <n v="299.95"/>
    <d v="2026-01-20T00:00:00"/>
    <d v="2026-01-20T12:16:28"/>
    <n v="346"/>
    <d v="2025-02-28T00:00:00"/>
    <d v="2026-01-18T14:57:01"/>
  </r>
  <r>
    <s v="TRX0187"/>
    <x v="135"/>
    <x v="10"/>
    <x v="1"/>
    <s v="Feb-2025"/>
    <s v="CUST036"/>
    <x v="20"/>
    <s v="NC"/>
    <x v="7"/>
    <x v="7"/>
    <x v="1"/>
    <n v="3"/>
    <n v="79.989999999999995"/>
    <s v="Cash"/>
    <x v="4"/>
    <s v="EA"/>
    <x v="1"/>
    <d v="2021-08-28T00:00:00"/>
    <n v="239.97"/>
    <d v="2026-01-20T00:00:00"/>
    <d v="2026-01-20T12:16:28"/>
    <n v="341"/>
    <d v="2025-02-28T00:00:00"/>
    <d v="2026-01-18T14:57:01"/>
  </r>
  <r>
    <s v="TRX0089"/>
    <x v="136"/>
    <x v="10"/>
    <x v="1"/>
    <s v="Feb-2025"/>
    <s v="CUST021"/>
    <x v="2"/>
    <s v="KS"/>
    <x v="9"/>
    <x v="9"/>
    <x v="2"/>
    <n v="3"/>
    <n v="199.99"/>
    <s v="Cash"/>
    <x v="0"/>
    <s v="CE"/>
    <x v="0"/>
    <d v="2022-06-23T00:00:00"/>
    <n v="599.97"/>
    <d v="2026-01-20T00:00:00"/>
    <d v="2026-01-20T12:16:28"/>
    <n v="338"/>
    <d v="2025-02-28T00:00:00"/>
    <d v="2026-01-18T14:57:01"/>
  </r>
  <r>
    <s v="TRX0196"/>
    <x v="136"/>
    <x v="10"/>
    <x v="1"/>
    <s v="Feb-2025"/>
    <s v="CUST023"/>
    <x v="0"/>
    <s v="PB"/>
    <x v="8"/>
    <x v="8"/>
    <x v="0"/>
    <n v="2"/>
    <n v="89.99"/>
    <s v="PayPal"/>
    <x v="0"/>
    <s v="CE"/>
    <x v="0"/>
    <d v="2023-11-27T00:00:00"/>
    <n v="179.98"/>
    <d v="2026-01-20T00:00:00"/>
    <d v="2026-01-20T12:16:28"/>
    <n v="338"/>
    <d v="2025-02-28T00:00:00"/>
    <d v="2026-01-18T14:57:01"/>
  </r>
  <r>
    <s v="TRX0118"/>
    <x v="137"/>
    <x v="10"/>
    <x v="1"/>
    <s v="Feb-2025"/>
    <s v="CUST015"/>
    <x v="45"/>
    <s v="RL"/>
    <x v="2"/>
    <x v="2"/>
    <x v="2"/>
    <n v="2"/>
    <n v="149.99"/>
    <s v="Cash"/>
    <x v="1"/>
    <s v="SO"/>
    <x v="1"/>
    <d v="2022-06-16T00:00:00"/>
    <n v="299.98"/>
    <d v="2026-01-20T00:00:00"/>
    <d v="2026-01-20T12:16:28"/>
    <n v="337"/>
    <d v="2025-02-28T00:00:00"/>
    <d v="2026-01-18T14:57:01"/>
  </r>
  <r>
    <s v="TRX0179"/>
    <x v="138"/>
    <x v="10"/>
    <x v="1"/>
    <s v="Feb-2025"/>
    <s v="CUST029"/>
    <x v="23"/>
    <s v="EM"/>
    <x v="5"/>
    <x v="5"/>
    <x v="0"/>
    <n v="5"/>
    <n v="699.99"/>
    <s v="PayPal"/>
    <x v="1"/>
    <s v="SO"/>
    <x v="1"/>
    <d v="2024-03-01T00:00:00"/>
    <n v="3499.95"/>
    <d v="2026-01-20T00:00:00"/>
    <d v="2026-01-20T12:16:28"/>
    <n v="335"/>
    <d v="2025-02-28T00:00:00"/>
    <d v="2026-01-18T14:57:01"/>
  </r>
  <r>
    <s v="TRX0168"/>
    <x v="138"/>
    <x v="10"/>
    <x v="1"/>
    <s v="Feb-2025"/>
    <s v="CUST003"/>
    <x v="4"/>
    <s v="MB"/>
    <x v="2"/>
    <x v="2"/>
    <x v="2"/>
    <n v="3"/>
    <n v="149.99"/>
    <s v="PayPal"/>
    <x v="0"/>
    <s v="CE"/>
    <x v="2"/>
    <d v="2022-03-13T00:00:00"/>
    <n v="449.97"/>
    <d v="2026-01-20T00:00:00"/>
    <d v="2026-01-20T12:16:28"/>
    <n v="335"/>
    <d v="2025-02-28T00:00:00"/>
    <d v="2026-01-18T14:57:01"/>
  </r>
  <r>
    <s v="TRX0214"/>
    <x v="139"/>
    <x v="10"/>
    <x v="1"/>
    <s v="Feb-2025"/>
    <s v="CUST018"/>
    <x v="17"/>
    <s v="BY"/>
    <x v="4"/>
    <x v="4"/>
    <x v="0"/>
    <n v="3"/>
    <n v="899.99"/>
    <s v="Cash"/>
    <x v="4"/>
    <s v="EA"/>
    <x v="2"/>
    <d v="2022-02-21T00:00:00"/>
    <n v="2699.97"/>
    <d v="2026-01-20T00:00:00"/>
    <d v="2026-01-20T12:16:28"/>
    <n v="334"/>
    <d v="2025-02-28T00:00:00"/>
    <d v="2026-01-18T14:57:01"/>
  </r>
  <r>
    <s v="TRX0221"/>
    <x v="139"/>
    <x v="10"/>
    <x v="1"/>
    <s v="Feb-2025"/>
    <s v="CUST033"/>
    <x v="37"/>
    <s v="FT"/>
    <x v="9"/>
    <x v="9"/>
    <x v="2"/>
    <n v="3"/>
    <n v="199.99"/>
    <s v="Cash"/>
    <x v="3"/>
    <s v="WE"/>
    <x v="1"/>
    <d v="2022-09-19T00:00:00"/>
    <n v="599.97"/>
    <d v="2026-01-20T00:00:00"/>
    <d v="2026-01-20T12:16:28"/>
    <n v="334"/>
    <d v="2025-02-28T00:00:00"/>
    <d v="2026-01-18T14:57:01"/>
  </r>
  <r>
    <s v="TRX0083"/>
    <x v="140"/>
    <x v="10"/>
    <x v="1"/>
    <s v="Feb-2025"/>
    <s v="CUST017"/>
    <x v="6"/>
    <s v="CA"/>
    <x v="6"/>
    <x v="6"/>
    <x v="2"/>
    <n v="5"/>
    <n v="299.99"/>
    <s v="Cash"/>
    <x v="3"/>
    <s v="WE"/>
    <x v="2"/>
    <d v="2023-08-04T00:00:00"/>
    <n v="1499.95"/>
    <d v="2026-01-20T00:00:00"/>
    <d v="2026-01-20T12:16:28"/>
    <n v="332"/>
    <d v="2025-02-28T00:00:00"/>
    <d v="2026-01-18T14:57:01"/>
  </r>
  <r>
    <s v="TRX0151"/>
    <x v="140"/>
    <x v="10"/>
    <x v="1"/>
    <s v="Feb-2025"/>
    <s v="CUST040"/>
    <x v="30"/>
    <s v="SB"/>
    <x v="5"/>
    <x v="5"/>
    <x v="0"/>
    <n v="1"/>
    <n v="699.99"/>
    <s v="PayPal"/>
    <x v="3"/>
    <s v="WE"/>
    <x v="0"/>
    <d v="2023-01-08T00:00:00"/>
    <n v="699.99"/>
    <d v="2026-01-20T00:00:00"/>
    <d v="2026-01-20T12:16:28"/>
    <n v="332"/>
    <d v="2025-02-28T00:00:00"/>
    <d v="2026-01-18T14:57:01"/>
  </r>
  <r>
    <s v="TRX0047"/>
    <x v="141"/>
    <x v="10"/>
    <x v="1"/>
    <s v="Feb-2025"/>
    <s v="CUST042"/>
    <x v="43"/>
    <s v="RB"/>
    <x v="5"/>
    <x v="5"/>
    <x v="0"/>
    <n v="1"/>
    <n v="699.99"/>
    <s v="Cash"/>
    <x v="2"/>
    <s v="NO"/>
    <x v="1"/>
    <d v="2022-01-22T00:00:00"/>
    <n v="699.99"/>
    <d v="2026-01-20T00:00:00"/>
    <d v="2026-01-20T12:16:28"/>
    <n v="331"/>
    <d v="2025-02-28T00:00:00"/>
    <d v="2026-01-18T14:57:01"/>
  </r>
  <r>
    <s v="TRX0200"/>
    <x v="141"/>
    <x v="10"/>
    <x v="1"/>
    <s v="Feb-2025"/>
    <s v="CUST037"/>
    <x v="48"/>
    <s v="AE"/>
    <x v="2"/>
    <x v="2"/>
    <x v="2"/>
    <n v="4"/>
    <n v="149.99"/>
    <s v="PayPal"/>
    <x v="2"/>
    <s v="NO"/>
    <x v="1"/>
    <d v="2021-08-04T00:00:00"/>
    <n v="599.96"/>
    <d v="2026-01-20T00:00:00"/>
    <d v="2026-01-20T12:16:28"/>
    <n v="331"/>
    <d v="2025-02-28T00:00:00"/>
    <d v="2026-01-18T14:57:01"/>
  </r>
  <r>
    <s v="TRX0062"/>
    <x v="141"/>
    <x v="10"/>
    <x v="1"/>
    <s v="Feb-2025"/>
    <s v="CUST016"/>
    <x v="39"/>
    <s v="EH"/>
    <x v="8"/>
    <x v="8"/>
    <x v="0"/>
    <n v="5"/>
    <n v="89.99"/>
    <s v="PayPal"/>
    <x v="3"/>
    <s v="WE"/>
    <x v="1"/>
    <d v="2023-08-02T00:00:00"/>
    <n v="449.95"/>
    <d v="2026-01-20T00:00:00"/>
    <d v="2026-01-20T12:16:28"/>
    <n v="331"/>
    <d v="2025-02-28T00:00:00"/>
    <d v="2026-01-18T14:57:01"/>
  </r>
  <r>
    <s v="TRX0182"/>
    <x v="142"/>
    <x v="10"/>
    <x v="1"/>
    <s v="Feb-2025"/>
    <s v="CUST031"/>
    <x v="26"/>
    <s v="ST"/>
    <x v="9"/>
    <x v="9"/>
    <x v="2"/>
    <n v="2"/>
    <n v="199.99"/>
    <s v="Cash"/>
    <x v="0"/>
    <s v="CE"/>
    <x v="1"/>
    <d v="2022-01-12T00:00:00"/>
    <n v="399.98"/>
    <d v="2026-01-20T00:00:00"/>
    <d v="2026-01-20T12:16:28"/>
    <n v="330"/>
    <d v="2025-02-28T00:00:00"/>
    <d v="2026-01-18T14:57:01"/>
  </r>
  <r>
    <s v="TRX0229"/>
    <x v="143"/>
    <x v="10"/>
    <x v="1"/>
    <s v="Feb-2025"/>
    <s v="CUST015"/>
    <x v="45"/>
    <s v="RL"/>
    <x v="1"/>
    <x v="1"/>
    <x v="1"/>
    <n v="4"/>
    <n v="59.99"/>
    <s v="Cash"/>
    <x v="3"/>
    <s v="WE"/>
    <x v="2"/>
    <d v="2023-05-24T00:00:00"/>
    <n v="239.96"/>
    <d v="2026-01-20T00:00:00"/>
    <d v="2026-01-20T12:16:28"/>
    <n v="327"/>
    <d v="2025-02-28T00:00:00"/>
    <d v="2026-01-18T14:57:01"/>
  </r>
  <r>
    <s v="TRX0048"/>
    <x v="143"/>
    <x v="10"/>
    <x v="1"/>
    <s v="Feb-2025"/>
    <s v="CUST048"/>
    <x v="16"/>
    <s v="VS"/>
    <x v="6"/>
    <x v="6"/>
    <x v="2"/>
    <n v="2"/>
    <n v="299.99"/>
    <s v="PayPal"/>
    <x v="1"/>
    <s v="SO"/>
    <x v="0"/>
    <d v="2022-01-15T00:00:00"/>
    <n v="599.98"/>
    <d v="2026-01-20T00:00:00"/>
    <d v="2026-01-20T12:16:28"/>
    <n v="327"/>
    <d v="2025-02-28T00:00:00"/>
    <d v="2026-01-18T14:57:01"/>
  </r>
  <r>
    <s v="TRX0227"/>
    <x v="144"/>
    <x v="11"/>
    <x v="1"/>
    <s v="Mar-2025"/>
    <s v="CUST017"/>
    <x v="6"/>
    <s v="CA"/>
    <x v="2"/>
    <x v="2"/>
    <x v="2"/>
    <n v="2"/>
    <n v="149.99"/>
    <s v="Cash"/>
    <x v="0"/>
    <s v="CE"/>
    <x v="0"/>
    <d v="2023-05-22T00:00:00"/>
    <n v="299.98"/>
    <d v="2026-01-20T00:00:00"/>
    <d v="2026-01-20T12:16:28"/>
    <n v="324"/>
    <d v="2025-03-31T00:00:00"/>
    <d v="2026-01-18T14:57:01"/>
  </r>
  <r>
    <s v="TRX0226"/>
    <x v="145"/>
    <x v="11"/>
    <x v="1"/>
    <s v="Mar-2025"/>
    <s v="CUST039"/>
    <x v="40"/>
    <s v="LR"/>
    <x v="5"/>
    <x v="5"/>
    <x v="0"/>
    <n v="5"/>
    <n v="699.99"/>
    <s v="Debit Card"/>
    <x v="4"/>
    <s v="EA"/>
    <x v="1"/>
    <d v="2023-08-23T00:00:00"/>
    <n v="3499.95"/>
    <d v="2026-01-20T00:00:00"/>
    <d v="2026-01-20T12:16:28"/>
    <n v="322"/>
    <d v="2025-03-31T00:00:00"/>
    <d v="2026-01-18T14:57:01"/>
  </r>
  <r>
    <s v="TRX0053"/>
    <x v="146"/>
    <x v="11"/>
    <x v="1"/>
    <s v="Mar-2025"/>
    <s v="CUST043"/>
    <x v="11"/>
    <s v="DG"/>
    <x v="1"/>
    <x v="1"/>
    <x v="1"/>
    <n v="5"/>
    <n v="59.99"/>
    <s v="Cash"/>
    <x v="3"/>
    <s v="WE"/>
    <x v="1"/>
    <d v="2023-12-31T00:00:00"/>
    <n v="299.95"/>
    <d v="2026-01-20T00:00:00"/>
    <d v="2026-01-20T12:16:28"/>
    <n v="321"/>
    <d v="2025-03-31T00:00:00"/>
    <d v="2026-01-18T14:57:01"/>
  </r>
  <r>
    <s v="TRX0233"/>
    <x v="147"/>
    <x v="11"/>
    <x v="1"/>
    <s v="Mar-2025"/>
    <s v="CUST023"/>
    <x v="0"/>
    <s v="PB"/>
    <x v="8"/>
    <x v="8"/>
    <x v="0"/>
    <n v="2"/>
    <n v="89.99"/>
    <s v="Credit Card"/>
    <x v="3"/>
    <s v="WE"/>
    <x v="1"/>
    <d v="2024-01-04T00:00:00"/>
    <n v="179.98"/>
    <d v="2026-01-20T00:00:00"/>
    <d v="2026-01-20T12:16:28"/>
    <n v="319"/>
    <d v="2025-03-31T00:00:00"/>
    <d v="2026-01-18T14:57:01"/>
  </r>
  <r>
    <s v="TRX0175"/>
    <x v="147"/>
    <x v="11"/>
    <x v="1"/>
    <s v="Mar-2025"/>
    <s v="CUST030"/>
    <x v="22"/>
    <s v="HR"/>
    <x v="0"/>
    <x v="0"/>
    <x v="0"/>
    <n v="5"/>
    <n v="249.99"/>
    <s v="Cash"/>
    <x v="4"/>
    <s v="EA"/>
    <x v="2"/>
    <d v="2021-12-10T00:00:00"/>
    <n v="1249.95"/>
    <d v="2026-01-20T00:00:00"/>
    <d v="2026-01-20T12:16:28"/>
    <n v="319"/>
    <d v="2025-03-31T00:00:00"/>
    <d v="2026-01-18T14:57:01"/>
  </r>
  <r>
    <s v="TRX0186"/>
    <x v="148"/>
    <x v="11"/>
    <x v="1"/>
    <s v="Mar-2025"/>
    <s v="CUST039"/>
    <x v="40"/>
    <s v="LR"/>
    <x v="2"/>
    <x v="2"/>
    <x v="2"/>
    <n v="2"/>
    <n v="149.99"/>
    <s v="PayPal"/>
    <x v="0"/>
    <s v="CE"/>
    <x v="1"/>
    <d v="2022-03-12T00:00:00"/>
    <n v="299.98"/>
    <d v="2026-01-20T00:00:00"/>
    <d v="2026-01-20T12:16:28"/>
    <n v="318"/>
    <d v="2025-03-31T00:00:00"/>
    <d v="2026-01-18T14:57:01"/>
  </r>
  <r>
    <s v="TRX0016"/>
    <x v="148"/>
    <x v="11"/>
    <x v="1"/>
    <s v="Mar-2025"/>
    <s v="CUST035"/>
    <x v="28"/>
    <s v="HM"/>
    <x v="4"/>
    <x v="4"/>
    <x v="0"/>
    <n v="5"/>
    <n v="899.99"/>
    <s v="PayPal"/>
    <x v="4"/>
    <s v="EA"/>
    <x v="1"/>
    <d v="2024-04-07T00:00:00"/>
    <n v="4499.95"/>
    <d v="2026-01-20T00:00:00"/>
    <d v="2026-01-20T12:16:28"/>
    <n v="318"/>
    <d v="2025-03-31T00:00:00"/>
    <d v="2026-01-18T14:57:01"/>
  </r>
  <r>
    <s v="TRX0199"/>
    <x v="148"/>
    <x v="11"/>
    <x v="1"/>
    <s v="Mar-2025"/>
    <s v="CUST017"/>
    <x v="6"/>
    <s v="CA"/>
    <x v="2"/>
    <x v="2"/>
    <x v="2"/>
    <n v="4"/>
    <n v="149.99"/>
    <s v="Cash"/>
    <x v="0"/>
    <s v="CE"/>
    <x v="2"/>
    <d v="2023-12-03T00:00:00"/>
    <n v="599.96"/>
    <d v="2026-01-20T00:00:00"/>
    <d v="2026-01-20T12:16:28"/>
    <n v="318"/>
    <d v="2025-03-31T00:00:00"/>
    <d v="2026-01-18T14:57:01"/>
  </r>
  <r>
    <s v="TRX0038"/>
    <x v="149"/>
    <x v="11"/>
    <x v="1"/>
    <s v="Mar-2025"/>
    <s v="CUST035"/>
    <x v="28"/>
    <s v="HM"/>
    <x v="0"/>
    <x v="0"/>
    <x v="0"/>
    <n v="1"/>
    <n v="249.99"/>
    <s v="Cash"/>
    <x v="2"/>
    <s v="NO"/>
    <x v="2"/>
    <d v="2023-07-10T00:00:00"/>
    <n v="249.99"/>
    <d v="2026-01-20T00:00:00"/>
    <d v="2026-01-20T12:16:28"/>
    <n v="316"/>
    <d v="2025-03-31T00:00:00"/>
    <d v="2026-01-18T14:57:01"/>
  </r>
  <r>
    <s v="TRX0014"/>
    <x v="150"/>
    <x v="11"/>
    <x v="1"/>
    <s v="Mar-2025"/>
    <s v="CUST033"/>
    <x v="37"/>
    <s v="FT"/>
    <x v="1"/>
    <x v="1"/>
    <x v="1"/>
    <n v="2"/>
    <n v="59.99"/>
    <s v="Credit Card"/>
    <x v="3"/>
    <s v="WE"/>
    <x v="0"/>
    <d v="2023-09-24T00:00:00"/>
    <n v="119.98"/>
    <d v="2026-01-20T00:00:00"/>
    <d v="2026-01-20T12:16:28"/>
    <n v="308"/>
    <d v="2025-03-31T00:00:00"/>
    <d v="2026-01-18T14:57:01"/>
  </r>
  <r>
    <s v="TRX0003"/>
    <x v="151"/>
    <x v="11"/>
    <x v="1"/>
    <s v="Mar-2025"/>
    <s v="CUST002"/>
    <x v="25"/>
    <s v="EW"/>
    <x v="2"/>
    <x v="2"/>
    <x v="2"/>
    <n v="2"/>
    <n v="149.99"/>
    <s v="Cash"/>
    <x v="3"/>
    <s v="WE"/>
    <x v="1"/>
    <d v="2023-11-03T00:00:00"/>
    <n v="299.98"/>
    <d v="2026-01-20T00:00:00"/>
    <d v="2026-01-20T12:16:28"/>
    <n v="305"/>
    <d v="2025-03-31T00:00:00"/>
    <d v="2026-01-18T14:57:01"/>
  </r>
  <r>
    <s v="TRX0124"/>
    <x v="151"/>
    <x v="11"/>
    <x v="1"/>
    <s v="Mar-2025"/>
    <s v="CUST040"/>
    <x v="30"/>
    <s v="SB"/>
    <x v="4"/>
    <x v="4"/>
    <x v="0"/>
    <n v="3"/>
    <n v="899.99"/>
    <s v="Debit Card"/>
    <x v="2"/>
    <s v="NO"/>
    <x v="1"/>
    <d v="2022-11-11T00:00:00"/>
    <n v="2699.97"/>
    <d v="2026-01-20T00:00:00"/>
    <d v="2026-01-20T12:16:28"/>
    <n v="305"/>
    <d v="2025-03-31T00:00:00"/>
    <d v="2026-01-18T14:57:01"/>
  </r>
  <r>
    <s v="TRX0013"/>
    <x v="151"/>
    <x v="11"/>
    <x v="1"/>
    <s v="Mar-2025"/>
    <s v="CUST024"/>
    <x v="5"/>
    <s v="DN"/>
    <x v="4"/>
    <x v="4"/>
    <x v="0"/>
    <n v="3"/>
    <n v="899.99"/>
    <s v="PayPal"/>
    <x v="2"/>
    <s v="NO"/>
    <x v="0"/>
    <d v="2023-02-18T00:00:00"/>
    <n v="2699.97"/>
    <d v="2026-01-20T00:00:00"/>
    <d v="2026-01-20T12:16:28"/>
    <n v="305"/>
    <d v="2025-03-31T00:00:00"/>
    <d v="2026-01-18T14:57:01"/>
  </r>
  <r>
    <s v="TRX0019"/>
    <x v="152"/>
    <x v="11"/>
    <x v="1"/>
    <s v="Mar-2025"/>
    <s v="CUST023"/>
    <x v="0"/>
    <s v="PB"/>
    <x v="6"/>
    <x v="6"/>
    <x v="2"/>
    <n v="3"/>
    <n v="299.99"/>
    <s v="Credit Card"/>
    <x v="3"/>
    <s v="WE"/>
    <x v="1"/>
    <d v="2023-11-04T00:00:00"/>
    <n v="899.97"/>
    <d v="2026-01-20T00:00:00"/>
    <d v="2026-01-20T12:16:28"/>
    <n v="303"/>
    <d v="2025-03-31T00:00:00"/>
    <d v="2026-01-18T14:57:01"/>
  </r>
  <r>
    <s v="TRX0050"/>
    <x v="153"/>
    <x v="11"/>
    <x v="1"/>
    <s v="Mar-2025"/>
    <s v="CUST001"/>
    <x v="49"/>
    <s v="JS"/>
    <x v="2"/>
    <x v="2"/>
    <x v="2"/>
    <n v="4"/>
    <n v="149.99"/>
    <s v="PayPal"/>
    <x v="3"/>
    <s v="WE"/>
    <x v="2"/>
    <d v="2021-12-30T00:00:00"/>
    <n v="599.96"/>
    <d v="2026-01-20T00:00:00"/>
    <d v="2026-01-20T12:16:28"/>
    <n v="302"/>
    <d v="2025-03-31T00:00:00"/>
    <d v="2026-01-18T14:57:01"/>
  </r>
  <r>
    <s v="TRX0152"/>
    <x v="154"/>
    <x v="11"/>
    <x v="1"/>
    <s v="Mar-2025"/>
    <s v="CUST044"/>
    <x v="19"/>
    <s v="CP"/>
    <x v="7"/>
    <x v="7"/>
    <x v="1"/>
    <n v="4"/>
    <n v="79.989999999999995"/>
    <s v="Credit Card"/>
    <x v="0"/>
    <s v="CE"/>
    <x v="0"/>
    <d v="2023-12-28T00:00:00"/>
    <n v="319.95999999999998"/>
    <d v="2026-01-20T00:00:00"/>
    <d v="2026-01-20T12:16:28"/>
    <n v="299"/>
    <d v="2025-03-31T00:00:00"/>
    <d v="2026-01-18T14:57:01"/>
  </r>
  <r>
    <s v="TRX0213"/>
    <x v="155"/>
    <x v="11"/>
    <x v="1"/>
    <s v="Mar-2025"/>
    <s v="CUST020"/>
    <x v="36"/>
    <s v="MW"/>
    <x v="8"/>
    <x v="8"/>
    <x v="0"/>
    <n v="5"/>
    <n v="89.99"/>
    <s v="PayPal"/>
    <x v="1"/>
    <s v="SO"/>
    <x v="0"/>
    <d v="2022-05-23T00:00:00"/>
    <n v="449.95"/>
    <d v="2026-01-20T00:00:00"/>
    <d v="2026-01-20T12:16:28"/>
    <n v="297"/>
    <d v="2025-03-31T00:00:00"/>
    <d v="2026-01-18T14:57:01"/>
  </r>
  <r>
    <s v="TRX0197"/>
    <x v="156"/>
    <x v="11"/>
    <x v="1"/>
    <s v="Mar-2025"/>
    <s v="CUST048"/>
    <x v="16"/>
    <s v="VS"/>
    <x v="2"/>
    <x v="2"/>
    <x v="2"/>
    <n v="3"/>
    <n v="149.99"/>
    <s v="PayPal"/>
    <x v="0"/>
    <s v="CE"/>
    <x v="2"/>
    <d v="2023-09-02T00:00:00"/>
    <n v="449.97"/>
    <d v="2026-01-20T00:00:00"/>
    <d v="2026-01-20T12:16:28"/>
    <n v="296"/>
    <d v="2025-03-31T00:00:00"/>
    <d v="2026-01-18T14:57:01"/>
  </r>
  <r>
    <s v="TRX0250"/>
    <x v="156"/>
    <x v="11"/>
    <x v="1"/>
    <s v="Mar-2025"/>
    <s v="CUST026"/>
    <x v="8"/>
    <s v="KH"/>
    <x v="8"/>
    <x v="8"/>
    <x v="0"/>
    <n v="2"/>
    <n v="89.99"/>
    <s v="Debit Card"/>
    <x v="3"/>
    <s v="WE"/>
    <x v="1"/>
    <d v="2021-11-22T00:00:00"/>
    <n v="179.98"/>
    <d v="2026-01-20T00:00:00"/>
    <d v="2026-01-20T12:16:28"/>
    <n v="296"/>
    <d v="2025-03-31T00:00:00"/>
    <d v="2026-01-18T14:57:01"/>
  </r>
  <r>
    <s v="TRX0068"/>
    <x v="157"/>
    <x v="0"/>
    <x v="1"/>
    <s v="Apr-2025"/>
    <s v="CUST044"/>
    <x v="19"/>
    <s v="CP"/>
    <x v="5"/>
    <x v="5"/>
    <x v="0"/>
    <n v="2"/>
    <n v="699.99"/>
    <s v="PayPal"/>
    <x v="2"/>
    <s v="NO"/>
    <x v="2"/>
    <d v="2022-02-26T00:00:00"/>
    <n v="1399.98"/>
    <d v="2026-01-20T00:00:00"/>
    <d v="2026-01-20T12:16:28"/>
    <n v="294"/>
    <d v="2025-04-30T00:00:00"/>
    <d v="2026-01-18T14:57:01"/>
  </r>
  <r>
    <s v="TRX0144"/>
    <x v="158"/>
    <x v="0"/>
    <x v="1"/>
    <s v="Apr-2025"/>
    <s v="CUST029"/>
    <x v="23"/>
    <s v="EM"/>
    <x v="4"/>
    <x v="4"/>
    <x v="0"/>
    <n v="3"/>
    <n v="899.99"/>
    <s v="Cash"/>
    <x v="0"/>
    <s v="CE"/>
    <x v="2"/>
    <d v="2023-01-27T00:00:00"/>
    <n v="2699.97"/>
    <d v="2026-01-20T00:00:00"/>
    <d v="2026-01-20T12:16:28"/>
    <n v="293"/>
    <d v="2025-04-30T00:00:00"/>
    <d v="2026-01-18T14:57:01"/>
  </r>
  <r>
    <s v="TRX0039"/>
    <x v="159"/>
    <x v="0"/>
    <x v="1"/>
    <s v="Apr-2025"/>
    <s v="CUST048"/>
    <x v="16"/>
    <s v="VS"/>
    <x v="7"/>
    <x v="7"/>
    <x v="1"/>
    <n v="3"/>
    <n v="79.989999999999995"/>
    <s v="Credit Card"/>
    <x v="2"/>
    <s v="NO"/>
    <x v="0"/>
    <d v="2021-11-11T00:00:00"/>
    <n v="239.97"/>
    <d v="2026-01-20T00:00:00"/>
    <d v="2026-01-20T12:16:28"/>
    <n v="287"/>
    <d v="2025-04-30T00:00:00"/>
    <d v="2026-01-18T14:57:01"/>
  </r>
  <r>
    <s v="TRX0116"/>
    <x v="160"/>
    <x v="0"/>
    <x v="1"/>
    <s v="Apr-2025"/>
    <s v="CUST009"/>
    <x v="7"/>
    <s v="RT"/>
    <x v="8"/>
    <x v="8"/>
    <x v="0"/>
    <n v="1"/>
    <n v="89.99"/>
    <s v="Debit Card"/>
    <x v="4"/>
    <s v="EA"/>
    <x v="0"/>
    <d v="2024-02-24T00:00:00"/>
    <n v="89.99"/>
    <d v="2026-01-20T00:00:00"/>
    <d v="2026-01-20T12:16:28"/>
    <n v="286"/>
    <d v="2025-04-30T00:00:00"/>
    <d v="2026-01-18T14:57:01"/>
  </r>
  <r>
    <s v="TRX0120"/>
    <x v="161"/>
    <x v="0"/>
    <x v="1"/>
    <s v="Apr-2025"/>
    <s v="CUST045"/>
    <x v="46"/>
    <s v="DW"/>
    <x v="5"/>
    <x v="5"/>
    <x v="0"/>
    <n v="3"/>
    <n v="699.99"/>
    <s v="PayPal"/>
    <x v="2"/>
    <s v="NO"/>
    <x v="0"/>
    <d v="2022-12-14T00:00:00"/>
    <n v="2099.9699999999998"/>
    <d v="2026-01-20T00:00:00"/>
    <d v="2026-01-20T12:16:28"/>
    <n v="284"/>
    <d v="2025-04-30T00:00:00"/>
    <d v="2026-01-18T14:57:01"/>
  </r>
  <r>
    <s v="TRX0103"/>
    <x v="161"/>
    <x v="0"/>
    <x v="1"/>
    <s v="Apr-2025"/>
    <s v="CUST039"/>
    <x v="40"/>
    <s v="LR"/>
    <x v="8"/>
    <x v="8"/>
    <x v="0"/>
    <n v="2"/>
    <n v="89.99"/>
    <s v="Debit Card"/>
    <x v="4"/>
    <s v="EA"/>
    <x v="0"/>
    <d v="2023-06-11T00:00:00"/>
    <n v="179.98"/>
    <d v="2026-01-20T00:00:00"/>
    <d v="2026-01-20T12:16:28"/>
    <n v="284"/>
    <d v="2025-04-30T00:00:00"/>
    <d v="2026-01-18T14:57:01"/>
  </r>
  <r>
    <s v="TRX0064"/>
    <x v="161"/>
    <x v="0"/>
    <x v="1"/>
    <s v="Apr-2025"/>
    <s v="CUST031"/>
    <x v="26"/>
    <s v="ST"/>
    <x v="8"/>
    <x v="8"/>
    <x v="0"/>
    <n v="3"/>
    <n v="89.99"/>
    <s v="Debit Card"/>
    <x v="2"/>
    <s v="NO"/>
    <x v="1"/>
    <d v="2022-11-13T00:00:00"/>
    <n v="269.97000000000003"/>
    <d v="2026-01-20T00:00:00"/>
    <d v="2026-01-20T12:16:28"/>
    <n v="284"/>
    <d v="2025-04-30T00:00:00"/>
    <d v="2026-01-18T14:57: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A19384-7880-4818-BA56-55879FD52C40}" name="top custom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D1:E12" firstHeaderRow="1" firstDataRow="1" firstDataCol="1"/>
  <pivotFields count="27">
    <pivotField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numFmtId="1" outline="0" showAll="0">
      <items count="25">
        <item h="1" m="1" x="21"/>
        <item h="1" m="1" x="22"/>
        <item h="1" m="1" x="23"/>
        <item h="1" m="1" x="12"/>
        <item h="1" m="1" x="13"/>
        <item h="1" m="1" x="14"/>
        <item h="1" m="1" x="15"/>
        <item h="1" m="1" x="16"/>
        <item h="1" m="1" x="17"/>
        <item h="1" m="1" x="18"/>
        <item h="1" m="1" x="19"/>
        <item h="1" m="1" x="20"/>
        <item x="9"/>
        <item x="10"/>
        <item x="11"/>
        <item x="0"/>
        <item x="1"/>
        <item x="2"/>
        <item x="3"/>
        <item x="4"/>
        <item x="5"/>
        <item x="6"/>
        <item x="7"/>
        <item x="8"/>
        <item t="default"/>
      </items>
    </pivotField>
    <pivotField compact="0" numFmtId="1" outline="0" showAll="0">
      <items count="3">
        <item x="0"/>
        <item x="1"/>
        <item t="default"/>
      </items>
    </pivotField>
    <pivotField compact="0" outline="0" showAll="0"/>
    <pivotField compact="0" outline="0" showAll="0"/>
    <pivotField axis="axisRow" compact="0" outline="0"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compact="0" outline="0" showAll="0"/>
    <pivotField compact="0" outline="0" showAll="0"/>
    <pivotField compact="0" outline="0" showAll="0">
      <items count="11">
        <item x="1"/>
        <item x="2"/>
        <item x="7"/>
        <item x="6"/>
        <item x="3"/>
        <item x="8"/>
        <item x="4"/>
        <item x="0"/>
        <item x="9"/>
        <item x="5"/>
        <item t="default"/>
      </items>
    </pivotField>
    <pivotField compact="0" outline="0" showAll="0"/>
    <pivotField compact="0" numFmtId="1"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numFmtId="14" outline="0" showAll="0"/>
    <pivotField dataField="1" compact="0" numFmtId="164" outline="0" showAll="0"/>
    <pivotField compact="0" numFmtId="14" outline="0" showAll="0"/>
    <pivotField compact="0" numFmtId="22" outline="0" showAll="0"/>
    <pivotField compact="0" outline="0" showAll="0"/>
    <pivotField compact="0" numFmtId="14" outline="0" showAll="0"/>
    <pivotField compact="0" numFmtId="22"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6"/>
  </rowFields>
  <rowItems count="11">
    <i>
      <x v="1"/>
    </i>
    <i>
      <x v="6"/>
    </i>
    <i>
      <x v="9"/>
    </i>
    <i>
      <x v="11"/>
    </i>
    <i>
      <x v="22"/>
    </i>
    <i>
      <x v="24"/>
    </i>
    <i>
      <x v="27"/>
    </i>
    <i>
      <x v="32"/>
    </i>
    <i>
      <x v="36"/>
    </i>
    <i>
      <x v="37"/>
    </i>
    <i t="grand">
      <x/>
    </i>
  </rowItems>
  <colItems count="1">
    <i/>
  </colItems>
  <dataFields count="1">
    <dataField name="Sum of Total_Amount" fld="18" baseField="0" baseItem="0" numFmtId="164"/>
  </dataFields>
  <formats count="12">
    <format dxfId="58">
      <pivotArea type="all" dataOnly="0" outline="0" fieldPosition="0"/>
    </format>
    <format dxfId="57">
      <pivotArea outline="0" collapsedLevelsAreSubtotals="1" fieldPosition="0"/>
    </format>
    <format dxfId="56">
      <pivotArea field="6" type="button" dataOnly="0" labelOnly="1" outline="0" axis="axisRow" fieldPosition="0"/>
    </format>
    <format dxfId="55">
      <pivotArea dataOnly="0" labelOnly="1" outline="0" fieldPosition="0">
        <references count="1">
          <reference field="6" count="10">
            <x v="1"/>
            <x v="6"/>
            <x v="9"/>
            <x v="11"/>
            <x v="22"/>
            <x v="24"/>
            <x v="27"/>
            <x v="32"/>
            <x v="36"/>
            <x v="37"/>
          </reference>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6" type="button" dataOnly="0" labelOnly="1" outline="0" axis="axisRow" fieldPosition="0"/>
    </format>
    <format dxfId="49">
      <pivotArea dataOnly="0" labelOnly="1" outline="0" fieldPosition="0">
        <references count="1">
          <reference field="6" count="10">
            <x v="1"/>
            <x v="6"/>
            <x v="9"/>
            <x v="11"/>
            <x v="22"/>
            <x v="24"/>
            <x v="27"/>
            <x v="32"/>
            <x v="36"/>
            <x v="37"/>
          </reference>
        </references>
      </pivotArea>
    </format>
    <format dxfId="48">
      <pivotArea dataOnly="0" labelOnly="1" grandRow="1" outline="0" fieldPosition="0"/>
    </format>
    <format dxfId="4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F46193-F859-44BC-8611-DD730DD6BF58}" name="top product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D1:E12" firstHeaderRow="1" firstDataRow="1" firstDataCol="1"/>
  <pivotFields count="2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items count="25">
        <item h="1" m="1" x="21"/>
        <item h="1" m="1" x="22"/>
        <item h="1" m="1" x="23"/>
        <item h="1" m="1" x="12"/>
        <item h="1" m="1" x="13"/>
        <item h="1" m="1" x="14"/>
        <item h="1" m="1" x="15"/>
        <item h="1" m="1" x="16"/>
        <item h="1" m="1" x="17"/>
        <item h="1" m="1" x="18"/>
        <item h="1" m="1" x="19"/>
        <item h="1" m="1" x="20"/>
        <item x="9"/>
        <item x="10"/>
        <item x="11"/>
        <item x="0"/>
        <item x="1"/>
        <item x="2"/>
        <item x="3"/>
        <item x="4"/>
        <item x="5"/>
        <item x="6"/>
        <item x="7"/>
        <item x="8"/>
        <item t="default"/>
      </items>
    </pivotField>
    <pivotField numFmtId="1" showAll="0">
      <items count="3">
        <item x="0"/>
        <item x="1"/>
        <item t="default"/>
      </items>
    </pivotField>
    <pivotField showAll="0"/>
    <pivotField showAll="0"/>
    <pivotField showAll="0"/>
    <pivotField showAll="0"/>
    <pivotField showAll="0"/>
    <pivotField axis="axisRow" showAll="0">
      <items count="11">
        <item x="1"/>
        <item x="2"/>
        <item x="7"/>
        <item x="6"/>
        <item x="3"/>
        <item x="8"/>
        <item x="4"/>
        <item x="0"/>
        <item x="9"/>
        <item x="5"/>
        <item t="default"/>
      </items>
    </pivotField>
    <pivotField showAll="0"/>
    <pivotField dataField="1" numFmtId="1" showAll="0"/>
    <pivotField numFmtId="164" showAll="0"/>
    <pivotField showAll="0"/>
    <pivotField showAll="0">
      <items count="6">
        <item x="0"/>
        <item x="4"/>
        <item x="2"/>
        <item x="1"/>
        <item x="3"/>
        <item t="default"/>
      </items>
    </pivotField>
    <pivotField showAll="0"/>
    <pivotField showAll="0"/>
    <pivotField numFmtId="14" showAll="0"/>
    <pivotField numFmtId="164" showAll="0"/>
    <pivotField numFmtId="14" showAll="0"/>
    <pivotField numFmtId="22" showAll="0"/>
    <pivotField showAll="0"/>
    <pivotField numFmtId="14" showAll="0"/>
    <pivotField numFmtId="22" showAll="0"/>
    <pivotField showAll="0" defaultSubtotal="0"/>
    <pivotField showAll="0" defaultSubtotal="0"/>
    <pivotField showAll="0" defaultSubtotal="0">
      <items count="4">
        <item x="0"/>
        <item x="1"/>
        <item x="2"/>
        <item x="3"/>
      </items>
    </pivotField>
  </pivotFields>
  <rowFields count="1">
    <field x="9"/>
  </rowFields>
  <rowItems count="11">
    <i>
      <x/>
    </i>
    <i>
      <x v="1"/>
    </i>
    <i>
      <x v="2"/>
    </i>
    <i>
      <x v="3"/>
    </i>
    <i>
      <x v="4"/>
    </i>
    <i>
      <x v="5"/>
    </i>
    <i>
      <x v="6"/>
    </i>
    <i>
      <x v="7"/>
    </i>
    <i>
      <x v="8"/>
    </i>
    <i>
      <x v="9"/>
    </i>
    <i t="grand">
      <x/>
    </i>
  </rowItems>
  <colItems count="1">
    <i/>
  </colItems>
  <dataFields count="1">
    <dataField name="Sum of Quantity" fld="11" baseField="0" baseItem="0" numFmtId="1"/>
  </dataFields>
  <formats count="12">
    <format dxfId="46">
      <pivotArea type="all" dataOnly="0" outline="0" fieldPosition="0"/>
    </format>
    <format dxfId="45">
      <pivotArea outline="0" collapsedLevelsAreSubtotals="1" fieldPosition="0"/>
    </format>
    <format dxfId="44">
      <pivotArea field="9" type="button" dataOnly="0" labelOnly="1" outline="0" axis="axisRow" fieldPosition="0"/>
    </format>
    <format dxfId="43">
      <pivotArea dataOnly="0" labelOnly="1" fieldPosition="0">
        <references count="1">
          <reference field="9" count="5">
            <x v="1"/>
            <x v="3"/>
            <x v="6"/>
            <x v="7"/>
            <x v="9"/>
          </reference>
        </references>
      </pivotArea>
    </format>
    <format dxfId="42">
      <pivotArea dataOnly="0" labelOnly="1" grandRow="1" outline="0" fieldPosition="0"/>
    </format>
    <format dxfId="41">
      <pivotArea dataOnly="0" labelOnly="1" outline="0" fieldPosition="0">
        <references count="1">
          <reference field="4294967294" count="1">
            <x v="0"/>
          </reference>
        </references>
      </pivotArea>
    </format>
    <format dxfId="40">
      <pivotArea type="all" dataOnly="0" outline="0" fieldPosition="0"/>
    </format>
    <format dxfId="39">
      <pivotArea outline="0" collapsedLevelsAreSubtotals="1" fieldPosition="0"/>
    </format>
    <format dxfId="38">
      <pivotArea field="9" type="button" dataOnly="0" labelOnly="1" outline="0" axis="axisRow" fieldPosition="0"/>
    </format>
    <format dxfId="37">
      <pivotArea dataOnly="0" labelOnly="1" fieldPosition="0">
        <references count="1">
          <reference field="9" count="0"/>
        </references>
      </pivotArea>
    </format>
    <format dxfId="36">
      <pivotArea dataOnly="0" labelOnly="1" grandRow="1" outline="0" fieldPosition="0"/>
    </format>
    <format dxfId="35">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F2147E-628B-43CA-83C6-AC17168DF5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F18" firstHeaderRow="1" firstDataRow="1" firstDataCol="1"/>
  <pivotFields count="2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umFmtId="1" showAll="0">
      <items count="25">
        <item h="1" m="1" x="21"/>
        <item h="1" m="1" x="22"/>
        <item h="1" m="1" x="23"/>
        <item h="1" m="1" x="12"/>
        <item h="1" m="1" x="13"/>
        <item h="1" m="1" x="14"/>
        <item h="1" m="1" x="15"/>
        <item h="1" m="1" x="16"/>
        <item h="1" m="1" x="17"/>
        <item h="1" m="1" x="18"/>
        <item h="1" m="1" x="19"/>
        <item h="1" m="1" x="20"/>
        <item x="9"/>
        <item x="10"/>
        <item x="11"/>
        <item x="0"/>
        <item x="1"/>
        <item x="2"/>
        <item x="3"/>
        <item x="4"/>
        <item x="5"/>
        <item x="6"/>
        <item x="7"/>
        <item x="8"/>
        <item t="default"/>
      </items>
    </pivotField>
    <pivotField numFmtId="1" showAll="0">
      <items count="3">
        <item x="0"/>
        <item x="1"/>
        <item t="default"/>
      </items>
    </pivotField>
    <pivotField showAll="0"/>
    <pivotField showAll="0"/>
    <pivotField showAll="0"/>
    <pivotField showAll="0"/>
    <pivotField showAll="0"/>
    <pivotField axis="axisRow" showAll="0">
      <items count="11">
        <item x="1"/>
        <item x="2"/>
        <item x="7"/>
        <item x="6"/>
        <item x="3"/>
        <item x="8"/>
        <item x="4"/>
        <item x="0"/>
        <item x="9"/>
        <item x="5"/>
        <item t="default"/>
      </items>
    </pivotField>
    <pivotField axis="axisRow" showAll="0">
      <items count="4">
        <item x="1"/>
        <item x="0"/>
        <item x="2"/>
        <item t="default"/>
      </items>
    </pivotField>
    <pivotField numFmtId="1" showAll="0"/>
    <pivotField numFmtId="164" showAll="0"/>
    <pivotField showAll="0"/>
    <pivotField showAll="0">
      <items count="6">
        <item x="0"/>
        <item x="4"/>
        <item x="2"/>
        <item x="1"/>
        <item x="3"/>
        <item t="default"/>
      </items>
    </pivotField>
    <pivotField showAll="0"/>
    <pivotField showAll="0">
      <items count="4">
        <item x="0"/>
        <item x="1"/>
        <item h="1" x="2"/>
        <item t="default"/>
      </items>
    </pivotField>
    <pivotField numFmtId="14" showAll="0"/>
    <pivotField dataField="1" numFmtId="164" showAll="0"/>
    <pivotField numFmtId="14" showAll="0"/>
    <pivotField numFmtId="22" showAll="0"/>
    <pivotField showAll="0"/>
    <pivotField numFmtId="14"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0"/>
    <field x="9"/>
  </rowFields>
  <rowItems count="14">
    <i>
      <x/>
    </i>
    <i r="1">
      <x/>
    </i>
    <i r="1">
      <x v="2"/>
    </i>
    <i>
      <x v="1"/>
    </i>
    <i r="1">
      <x v="4"/>
    </i>
    <i r="1">
      <x v="5"/>
    </i>
    <i r="1">
      <x v="6"/>
    </i>
    <i r="1">
      <x v="7"/>
    </i>
    <i r="1">
      <x v="9"/>
    </i>
    <i>
      <x v="2"/>
    </i>
    <i r="1">
      <x v="1"/>
    </i>
    <i r="1">
      <x v="3"/>
    </i>
    <i r="1">
      <x v="8"/>
    </i>
    <i t="grand">
      <x/>
    </i>
  </rowItems>
  <colItems count="1">
    <i/>
  </colItems>
  <dataFields count="1">
    <dataField name="Sum of Total_Amount" fld="18"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845482-9D0C-4A80-B1E4-847BC8B57A28}" name="month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4:L18" firstHeaderRow="1" firstDataRow="2" firstDataCol="1"/>
  <pivotFields count="2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axis="axisRow" numFmtId="1" showAll="0" sortType="ascending">
      <items count="25">
        <item m="1" x="21"/>
        <item m="1" x="22"/>
        <item m="1" x="23"/>
        <item m="1" x="12"/>
        <item m="1" x="13"/>
        <item m="1" x="14"/>
        <item m="1" x="15"/>
        <item m="1" x="16"/>
        <item m="1" x="17"/>
        <item m="1" x="18"/>
        <item m="1" x="19"/>
        <item m="1" x="20"/>
        <item x="9"/>
        <item x="10"/>
        <item x="11"/>
        <item x="0"/>
        <item x="1"/>
        <item x="2"/>
        <item x="3"/>
        <item x="4"/>
        <item x="5"/>
        <item x="6"/>
        <item x="7"/>
        <item x="8"/>
        <item t="default"/>
      </items>
    </pivotField>
    <pivotField axis="axisCol" numFmtId="1" showAll="0">
      <items count="3">
        <item x="0"/>
        <item x="1"/>
        <item t="default"/>
      </items>
    </pivotField>
    <pivotField showAll="0"/>
    <pivotField showAll="0"/>
    <pivotField showAll="0"/>
    <pivotField showAll="0"/>
    <pivotField showAll="0"/>
    <pivotField showAll="0">
      <items count="11">
        <item x="1"/>
        <item x="2"/>
        <item x="7"/>
        <item x="6"/>
        <item x="3"/>
        <item x="8"/>
        <item x="4"/>
        <item x="0"/>
        <item x="9"/>
        <item x="5"/>
        <item t="default"/>
      </items>
    </pivotField>
    <pivotField showAll="0"/>
    <pivotField numFmtId="1" showAll="0"/>
    <pivotField numFmtId="164" showAll="0"/>
    <pivotField showAll="0"/>
    <pivotField showAll="0"/>
    <pivotField showAll="0"/>
    <pivotField showAll="0">
      <items count="4">
        <item x="0"/>
        <item x="1"/>
        <item h="1" x="2"/>
        <item t="default"/>
      </items>
    </pivotField>
    <pivotField numFmtId="14" showAll="0"/>
    <pivotField dataField="1" numFmtId="164" showAll="0"/>
    <pivotField numFmtId="14" showAll="0"/>
    <pivotField numFmtId="22" showAll="0"/>
    <pivotField showAll="0"/>
    <pivotField numFmtId="14" showAll="0"/>
    <pivotField numFmtId="2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13">
    <i>
      <x v="12"/>
    </i>
    <i>
      <x v="13"/>
    </i>
    <i>
      <x v="14"/>
    </i>
    <i>
      <x v="15"/>
    </i>
    <i>
      <x v="16"/>
    </i>
    <i>
      <x v="17"/>
    </i>
    <i>
      <x v="18"/>
    </i>
    <i>
      <x v="19"/>
    </i>
    <i>
      <x v="20"/>
    </i>
    <i>
      <x v="21"/>
    </i>
    <i>
      <x v="22"/>
    </i>
    <i>
      <x v="23"/>
    </i>
    <i t="grand">
      <x/>
    </i>
  </rowItems>
  <colFields count="1">
    <field x="3"/>
  </colFields>
  <colItems count="3">
    <i>
      <x/>
    </i>
    <i>
      <x v="1"/>
    </i>
    <i t="grand">
      <x/>
    </i>
  </colItems>
  <dataFields count="1">
    <dataField name="Sum of Total_Amount" fld="18" baseField="0" baseItem="0" numFmtId="164"/>
  </dataFields>
  <chartFormats count="1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2" format="6" series="1">
      <pivotArea type="data" outline="0" fieldPosition="0">
        <references count="2">
          <reference field="4294967294" count="1" selected="0">
            <x v="0"/>
          </reference>
          <reference field="2" count="1" selected="0">
            <x v="6"/>
          </reference>
        </references>
      </pivotArea>
    </chartFormat>
    <chartFormat chart="2" format="7" series="1">
      <pivotArea type="data" outline="0" fieldPosition="0">
        <references count="2">
          <reference field="4294967294" count="1" selected="0">
            <x v="0"/>
          </reference>
          <reference field="2" count="1" selected="0">
            <x v="7"/>
          </reference>
        </references>
      </pivotArea>
    </chartFormat>
    <chartFormat chart="2" format="8" series="1">
      <pivotArea type="data" outline="0" fieldPosition="0">
        <references count="2">
          <reference field="4294967294" count="1" selected="0">
            <x v="0"/>
          </reference>
          <reference field="2" count="1" selected="0">
            <x v="8"/>
          </reference>
        </references>
      </pivotArea>
    </chartFormat>
    <chartFormat chart="2" format="9" series="1">
      <pivotArea type="data" outline="0" fieldPosition="0">
        <references count="2">
          <reference field="4294967294" count="1" selected="0">
            <x v="0"/>
          </reference>
          <reference field="2" count="1" selected="0">
            <x v="9"/>
          </reference>
        </references>
      </pivotArea>
    </chartFormat>
    <chartFormat chart="2" format="10" series="1">
      <pivotArea type="data" outline="0" fieldPosition="0">
        <references count="2">
          <reference field="4294967294" count="1" selected="0">
            <x v="0"/>
          </reference>
          <reference field="2" count="1" selected="0">
            <x v="10"/>
          </reference>
        </references>
      </pivotArea>
    </chartFormat>
    <chartFormat chart="2" format="11" series="1">
      <pivotArea type="data" outline="0" fieldPosition="0">
        <references count="2">
          <reference field="4294967294" count="1" selected="0">
            <x v="0"/>
          </reference>
          <reference field="2" count="1" selected="0">
            <x v="11"/>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2">
          <reference field="4294967294" count="1" selected="0">
            <x v="0"/>
          </reference>
          <reference field="3" count="1" selected="0">
            <x v="1"/>
          </reference>
        </references>
      </pivotArea>
    </chartFormat>
    <chartFormat chart="2" format="14" series="1">
      <pivotArea type="data" outline="0" fieldPosition="0">
        <references count="2">
          <reference field="4294967294" count="1" selected="0">
            <x v="0"/>
          </reference>
          <reference field="3" count="1" selected="0">
            <x v="0"/>
          </reference>
        </references>
      </pivotArea>
    </chartFormat>
    <chartFormat chart="6" format="17" series="1">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BA4E65-5741-410B-84BC-28A144683FD3}" name="total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A7" firstHeaderRow="1" firstDataRow="1" firstDataCol="0"/>
  <pivotFields count="2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umFmtId="1" showAll="0">
      <items count="25">
        <item h="1" m="1" x="21"/>
        <item h="1" m="1" x="22"/>
        <item h="1" m="1" x="23"/>
        <item h="1" m="1" x="12"/>
        <item h="1" m="1" x="13"/>
        <item h="1" m="1" x="14"/>
        <item h="1" m="1" x="15"/>
        <item h="1" m="1" x="16"/>
        <item h="1" m="1" x="17"/>
        <item h="1" m="1" x="18"/>
        <item h="1" m="1" x="19"/>
        <item h="1" m="1" x="20"/>
        <item x="9"/>
        <item x="10"/>
        <item x="11"/>
        <item x="0"/>
        <item x="1"/>
        <item x="2"/>
        <item x="3"/>
        <item x="4"/>
        <item x="5"/>
        <item x="6"/>
        <item x="7"/>
        <item x="8"/>
        <item t="default"/>
      </items>
    </pivotField>
    <pivotField numFmtId="1" showAll="0"/>
    <pivotField showAll="0"/>
    <pivotField showAll="0"/>
    <pivotField showAll="0"/>
    <pivotField showAll="0"/>
    <pivotField showAll="0"/>
    <pivotField showAll="0">
      <items count="11">
        <item x="1"/>
        <item x="2"/>
        <item x="7"/>
        <item x="6"/>
        <item x="3"/>
        <item x="8"/>
        <item x="4"/>
        <item x="0"/>
        <item x="9"/>
        <item x="5"/>
        <item t="default"/>
      </items>
    </pivotField>
    <pivotField showAll="0"/>
    <pivotField dataField="1" numFmtId="1" showAll="0"/>
    <pivotField numFmtId="164" showAll="0"/>
    <pivotField showAll="0"/>
    <pivotField showAll="0">
      <items count="6">
        <item x="0"/>
        <item x="4"/>
        <item x="2"/>
        <item x="1"/>
        <item x="3"/>
        <item t="default"/>
      </items>
    </pivotField>
    <pivotField showAll="0"/>
    <pivotField showAll="0"/>
    <pivotField numFmtId="14" showAll="0"/>
    <pivotField numFmtId="164" showAll="0"/>
    <pivotField numFmtId="14" showAll="0"/>
    <pivotField numFmtId="22" showAll="0"/>
    <pivotField showAll="0"/>
    <pivotField numFmtId="14"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123551-431E-446A-B00E-D91F6E5EB04F}" name="years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B11" firstHeaderRow="1" firstDataRow="1" firstDataCol="1"/>
  <pivotFields count="2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umFmtId="1" showAll="0">
      <items count="25">
        <item h="1" m="1" x="21"/>
        <item h="1" m="1" x="22"/>
        <item h="1" m="1" x="23"/>
        <item h="1" m="1" x="12"/>
        <item h="1" m="1" x="13"/>
        <item h="1" m="1" x="14"/>
        <item h="1" m="1" x="15"/>
        <item h="1" m="1" x="16"/>
        <item h="1" m="1" x="17"/>
        <item h="1" m="1" x="18"/>
        <item h="1" m="1" x="19"/>
        <item h="1" m="1" x="20"/>
        <item x="9"/>
        <item x="10"/>
        <item x="11"/>
        <item x="0"/>
        <item x="1"/>
        <item x="2"/>
        <item x="3"/>
        <item x="4"/>
        <item x="5"/>
        <item x="6"/>
        <item x="7"/>
        <item x="8"/>
        <item t="default"/>
      </items>
    </pivotField>
    <pivotField axis="axisRow" numFmtId="1" showAll="0">
      <items count="3">
        <item x="0"/>
        <item x="1"/>
        <item t="default"/>
      </items>
    </pivotField>
    <pivotField showAll="0"/>
    <pivotField showAll="0"/>
    <pivotField showAll="0"/>
    <pivotField showAll="0"/>
    <pivotField showAll="0"/>
    <pivotField showAll="0"/>
    <pivotField showAll="0"/>
    <pivotField numFmtId="1" showAll="0"/>
    <pivotField numFmtId="164" showAll="0"/>
    <pivotField showAll="0"/>
    <pivotField showAll="0"/>
    <pivotField showAll="0"/>
    <pivotField showAll="0"/>
    <pivotField numFmtId="14" showAll="0"/>
    <pivotField dataField="1" numFmtId="164" showAll="0"/>
    <pivotField numFmtId="14" showAll="0"/>
    <pivotField numFmtId="22" showAll="0"/>
    <pivotField showAll="0"/>
    <pivotField numFmtId="14"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Total_Amount" fld="1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B87996-596D-41A3-A9EF-EA84B95708B5}" name="region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B22" firstHeaderRow="1" firstDataRow="1" firstDataCol="1"/>
  <pivotFields count="2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umFmtId="1" showAll="0">
      <items count="25">
        <item h="1" m="1" x="21"/>
        <item h="1" m="1" x="22"/>
        <item h="1" m="1" x="23"/>
        <item h="1" m="1" x="12"/>
        <item h="1" m="1" x="13"/>
        <item h="1" m="1" x="14"/>
        <item h="1" m="1" x="15"/>
        <item h="1" m="1" x="16"/>
        <item h="1" m="1" x="17"/>
        <item h="1" m="1" x="18"/>
        <item h="1" m="1" x="19"/>
        <item h="1" m="1" x="20"/>
        <item x="9"/>
        <item x="10"/>
        <item x="11"/>
        <item x="0"/>
        <item x="1"/>
        <item x="2"/>
        <item x="3"/>
        <item x="4"/>
        <item x="5"/>
        <item x="6"/>
        <item x="7"/>
        <item x="8"/>
        <item t="default"/>
      </items>
    </pivotField>
    <pivotField numFmtId="1" showAll="0">
      <items count="3">
        <item x="0"/>
        <item x="1"/>
        <item t="default"/>
      </items>
    </pivotField>
    <pivotField showAll="0"/>
    <pivotField showAll="0"/>
    <pivotField showAll="0"/>
    <pivotField showAll="0"/>
    <pivotField showAll="0"/>
    <pivotField showAll="0">
      <items count="11">
        <item x="1"/>
        <item x="2"/>
        <item x="7"/>
        <item x="6"/>
        <item x="3"/>
        <item x="8"/>
        <item x="4"/>
        <item x="0"/>
        <item x="9"/>
        <item x="5"/>
        <item t="default"/>
      </items>
    </pivotField>
    <pivotField showAll="0"/>
    <pivotField numFmtId="1" showAll="0"/>
    <pivotField numFmtId="164" showAll="0"/>
    <pivotField showAll="0"/>
    <pivotField axis="axisRow" showAll="0">
      <items count="6">
        <item x="0"/>
        <item x="4"/>
        <item x="2"/>
        <item x="1"/>
        <item x="3"/>
        <item t="default"/>
      </items>
    </pivotField>
    <pivotField showAll="0"/>
    <pivotField showAll="0">
      <items count="4">
        <item x="0"/>
        <item x="1"/>
        <item h="1" x="2"/>
        <item t="default"/>
      </items>
    </pivotField>
    <pivotField numFmtId="14" showAll="0"/>
    <pivotField dataField="1" numFmtId="164" showAll="0"/>
    <pivotField numFmtId="14" showAll="0"/>
    <pivotField numFmtId="22" showAll="0"/>
    <pivotField showAll="0"/>
    <pivotField numFmtId="14"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6">
    <i>
      <x/>
    </i>
    <i>
      <x v="1"/>
    </i>
    <i>
      <x v="2"/>
    </i>
    <i>
      <x v="3"/>
    </i>
    <i>
      <x v="4"/>
    </i>
    <i t="grand">
      <x/>
    </i>
  </rowItems>
  <colItems count="1">
    <i/>
  </colItems>
  <dataFields count="1">
    <dataField name="Sum of Total_Amount" fld="18"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6B84FC-FD31-4612-97AC-DF7A28BA9073}" name="cumper yaer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2:B15" firstHeaderRow="1" firstDataRow="1" firstDataCol="1"/>
  <pivotFields count="2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umFmtId="1" showAll="0"/>
    <pivotField axis="axisRow" numFmtId="1" showAll="0">
      <items count="3">
        <item x="0"/>
        <item x="1"/>
        <item t="default"/>
      </items>
    </pivotField>
    <pivotField showAll="0"/>
    <pivotField showAll="0"/>
    <pivotField showAll="0"/>
    <pivotField showAll="0"/>
    <pivotField showAll="0"/>
    <pivotField showAll="0">
      <items count="11">
        <item x="1"/>
        <item x="2"/>
        <item x="7"/>
        <item x="6"/>
        <item x="3"/>
        <item x="8"/>
        <item x="4"/>
        <item x="0"/>
        <item x="9"/>
        <item x="5"/>
        <item t="default"/>
      </items>
    </pivotField>
    <pivotField showAll="0"/>
    <pivotField numFmtId="1" showAll="0"/>
    <pivotField numFmtId="164" showAll="0"/>
    <pivotField showAll="0"/>
    <pivotField showAll="0"/>
    <pivotField showAll="0"/>
    <pivotField showAll="0"/>
    <pivotField numFmtId="14" showAll="0"/>
    <pivotField dataField="1" numFmtId="164" showAll="0"/>
    <pivotField numFmtId="14" showAll="0"/>
    <pivotField numFmtId="22" showAll="0"/>
    <pivotField showAll="0"/>
    <pivotField numFmtId="14"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Total_Amount" fld="18" showDataAs="percentDiff" baseField="3" baseItem="0" numFmtId="10"/>
  </dataFields>
  <formats count="1">
    <format dxfId="34">
      <pivotArea collapsedLevelsAreSubtotals="1" fieldPosition="0">
        <references count="1">
          <reference field="3" count="1">
            <x v="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88B133-CA11-4710-9F5E-DA7C32AA4305}"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A3" firstHeaderRow="1" firstDataRow="1" firstDataCol="0"/>
  <pivotFields count="2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umFmtId="1" showAll="0">
      <items count="25">
        <item h="1" m="1" x="21"/>
        <item h="1" m="1" x="22"/>
        <item h="1" m="1" x="23"/>
        <item h="1" m="1" x="12"/>
        <item h="1" m="1" x="13"/>
        <item h="1" m="1" x="14"/>
        <item h="1" m="1" x="15"/>
        <item h="1" m="1" x="16"/>
        <item h="1" m="1" x="17"/>
        <item h="1" m="1" x="18"/>
        <item h="1" m="1" x="19"/>
        <item h="1" m="1" x="20"/>
        <item x="9"/>
        <item x="10"/>
        <item x="11"/>
        <item x="0"/>
        <item x="1"/>
        <item x="2"/>
        <item x="3"/>
        <item x="4"/>
        <item x="5"/>
        <item x="6"/>
        <item x="7"/>
        <item x="8"/>
        <item t="default"/>
      </items>
    </pivotField>
    <pivotField numFmtId="1" showAll="0"/>
    <pivotField showAll="0"/>
    <pivotField showAll="0"/>
    <pivotField showAll="0"/>
    <pivotField showAll="0"/>
    <pivotField showAll="0"/>
    <pivotField showAll="0">
      <items count="11">
        <item x="1"/>
        <item x="2"/>
        <item x="7"/>
        <item x="6"/>
        <item x="3"/>
        <item x="8"/>
        <item x="4"/>
        <item x="0"/>
        <item x="9"/>
        <item x="5"/>
        <item t="default"/>
      </items>
    </pivotField>
    <pivotField showAll="0"/>
    <pivotField numFmtId="1" showAll="0"/>
    <pivotField numFmtId="164" showAll="0"/>
    <pivotField showAll="0"/>
    <pivotField showAll="0">
      <items count="6">
        <item x="0"/>
        <item x="4"/>
        <item x="2"/>
        <item x="1"/>
        <item x="3"/>
        <item t="default"/>
      </items>
    </pivotField>
    <pivotField showAll="0"/>
    <pivotField showAll="0"/>
    <pivotField numFmtId="14" showAll="0"/>
    <pivotField dataField="1" numFmtId="164" showAll="0"/>
    <pivotField numFmtId="14" showAll="0"/>
    <pivotField numFmtId="22" showAll="0"/>
    <pivotField showAll="0"/>
    <pivotField numFmtId="14"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_Amount" fld="1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D08FCA-23C1-4C8E-83DC-2FC1E32A70F3}" name="total 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A5" firstHeaderRow="1" firstDataRow="1" firstDataCol="0"/>
  <pivotFields count="27">
    <pivotField dataField="1"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umFmtId="1" showAll="0">
      <items count="25">
        <item h="1" m="1" x="21"/>
        <item h="1" m="1" x="22"/>
        <item h="1" m="1" x="23"/>
        <item h="1" m="1" x="12"/>
        <item h="1" m="1" x="13"/>
        <item h="1" m="1" x="14"/>
        <item h="1" m="1" x="15"/>
        <item h="1" m="1" x="16"/>
        <item h="1" m="1" x="17"/>
        <item h="1" m="1" x="18"/>
        <item h="1" m="1" x="19"/>
        <item h="1" m="1" x="20"/>
        <item x="9"/>
        <item x="10"/>
        <item x="11"/>
        <item x="0"/>
        <item x="1"/>
        <item x="2"/>
        <item x="3"/>
        <item x="4"/>
        <item x="5"/>
        <item x="6"/>
        <item x="7"/>
        <item x="8"/>
        <item t="default"/>
      </items>
    </pivotField>
    <pivotField numFmtId="1" showAll="0"/>
    <pivotField showAll="0"/>
    <pivotField showAll="0"/>
    <pivotField showAll="0"/>
    <pivotField showAll="0"/>
    <pivotField showAll="0"/>
    <pivotField showAll="0">
      <items count="11">
        <item x="1"/>
        <item x="2"/>
        <item x="7"/>
        <item x="6"/>
        <item x="3"/>
        <item x="8"/>
        <item x="4"/>
        <item x="0"/>
        <item x="9"/>
        <item x="5"/>
        <item t="default"/>
      </items>
    </pivotField>
    <pivotField showAll="0"/>
    <pivotField numFmtId="1" showAll="0"/>
    <pivotField numFmtId="164" showAll="0"/>
    <pivotField showAll="0"/>
    <pivotField showAll="0">
      <items count="6">
        <item x="0"/>
        <item x="4"/>
        <item x="2"/>
        <item x="1"/>
        <item x="3"/>
        <item t="default"/>
      </items>
    </pivotField>
    <pivotField showAll="0"/>
    <pivotField showAll="0"/>
    <pivotField numFmtId="14" showAll="0"/>
    <pivotField numFmtId="164" showAll="0"/>
    <pivotField numFmtId="14" showAll="0"/>
    <pivotField numFmtId="22" showAll="0"/>
    <pivotField showAll="0"/>
    <pivotField numFmtId="14"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EC95F44-580E-4D25-9ECD-B547A098E512}" sourceName="Product_Name">
  <pivotTables>
    <pivotTable tabId="10" name="region sales"/>
    <pivotTable tabId="10" name="monthly sales"/>
    <pivotTable tabId="10" name="cumper yaer sales"/>
    <pivotTable tabId="10" name="total customer"/>
    <pivotTable tabId="10" name="total quantity"/>
    <pivotTable tabId="10" name="total sales"/>
    <pivotTable tabId="13" name="top products"/>
    <pivotTable tabId="12" name="top customer"/>
  </pivotTables>
  <data>
    <tabular pivotCacheId="584357582">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5D2237-E96F-4277-BFAA-79D3D89F3607}" sourceName="Region">
  <pivotTables>
    <pivotTable tabId="10" name="PivotTable1"/>
    <pivotTable tabId="10" name="total customer"/>
    <pivotTable tabId="10" name="total quantity"/>
    <pivotTable tabId="10" name="total sales"/>
    <pivotTable tabId="13" name="top products"/>
    <pivotTable tabId="12" name="top customer"/>
  </pivotTables>
  <data>
    <tabular pivotCacheId="58435758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43C46E7-7734-406F-A97E-D21AA3B4EB9C}" sourceName="month">
  <pivotTables>
    <pivotTable tabId="10" name="PivotTable1"/>
    <pivotTable tabId="10" name="region sales"/>
    <pivotTable tabId="10" name="total customer"/>
    <pivotTable tabId="10" name="total quantity"/>
    <pivotTable tabId="10" name="total sales"/>
    <pivotTable tabId="10" name="years sales"/>
    <pivotTable tabId="13" name="top products"/>
    <pivotTable tabId="12" name="top customer"/>
  </pivotTables>
  <data>
    <tabular pivotCacheId="584357582" showMissing="0">
      <items count="24">
        <i x="9" s="1"/>
        <i x="10" s="1"/>
        <i x="11" s="1"/>
        <i x="0" s="1"/>
        <i x="1" s="1"/>
        <i x="2" s="1"/>
        <i x="3" s="1"/>
        <i x="4" s="1"/>
        <i x="5" s="1"/>
        <i x="6" s="1"/>
        <i x="7" s="1"/>
        <i x="8" s="1"/>
        <i x="21" nd="1"/>
        <i x="22" nd="1"/>
        <i x="23" nd="1"/>
        <i x="12" nd="1"/>
        <i x="13" nd="1"/>
        <i x="14" nd="1"/>
        <i x="15" nd="1"/>
        <i x="16" nd="1"/>
        <i x="17" nd="1"/>
        <i x="18" nd="1"/>
        <i x="19" nd="1"/>
        <i x="2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C27CFD8-B39F-4D8C-A649-EEFB104F49C5}" sourceName="year">
  <pivotTables>
    <pivotTable tabId="10" name="monthly sales"/>
    <pivotTable tabId="10" name="PivotTable1"/>
    <pivotTable tabId="10" name="region sales"/>
    <pivotTable tabId="13" name="top products"/>
    <pivotTable tabId="12" name="top customer"/>
  </pivotTables>
  <data>
    <tabular pivotCacheId="58435758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A52F43C4-142F-480B-ACD7-E392C8984062}" cache="Slicer_Product_Name" caption="Product_Name" columnCount="10" showCaption="0" style="SlicerStyleLight1 2" rowHeight="468000"/>
  <slicer name="Region" xr10:uid="{480C4A8A-834E-4D29-818D-E28124EA8236}" cache="Slicer_Region" caption="Region" columnCount="4" style="SlicerStyleLight1 2" rowHeight="360000"/>
  <slicer name="month" xr10:uid="{C9F25470-C95A-498F-B649-678EAAB087EF}" cache="Slicer_month" caption="month" columnCount="12" showCaption="0" style="SlicerStyleLight1 2" rowHeight="324000"/>
  <slicer name="year" xr10:uid="{D83EF9FB-2974-4F52-A990-99FBA40B7C81}" cache="Slicer_year" caption="year" columnCount="2" style="SlicerStyleLight1 2" rowHeight="68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EDC3BC-579B-44A4-A2AD-472D51479FBF}" name="Table1" displayName="Table1" ref="A1:X251" totalsRowShown="0" headerRowDxfId="33" dataDxfId="31" headerRowBorderDxfId="32" tableBorderDxfId="30" totalsRowBorderDxfId="29">
  <autoFilter ref="A1:X251" xr:uid="{08EDC3BC-579B-44A4-A2AD-472D51479FBF}"/>
  <tableColumns count="24">
    <tableColumn id="1" xr3:uid="{DF63733B-7A94-4B50-B37F-CF80D792A45A}" name="Transaction_ID" dataDxfId="28"/>
    <tableColumn id="2" xr3:uid="{F00A2D9E-1595-400B-BA4B-61E4AA0D7F47}" name="Date" dataDxfId="27"/>
    <tableColumn id="25" xr3:uid="{40FF7011-A2B8-431A-AE60-EF54AAD86DD8}" name="month" dataDxfId="26">
      <calculatedColumnFormula>TEXT(Table1[[#This Row],[Date]],"mmm")</calculatedColumnFormula>
    </tableColumn>
    <tableColumn id="24" xr3:uid="{D5EDEEB5-746C-4152-B455-C488BE662297}" name="year" dataDxfId="25">
      <calculatedColumnFormula>YEAR(Table1[[#This Row],[Date]])</calculatedColumnFormula>
    </tableColumn>
    <tableColumn id="23" xr3:uid="{E28C29A2-184D-4982-9B56-7B535F2841FF}" name="date_year" dataDxfId="24">
      <calculatedColumnFormula>TEXT(Table1[[#This Row],[Date]],"mmm-yyyy")</calculatedColumnFormula>
    </tableColumn>
    <tableColumn id="3" xr3:uid="{E13F3BB5-55B0-4C52-83A8-85BAB6C5DB7E}" name="Customer_ID" dataDxfId="23"/>
    <tableColumn id="4" xr3:uid="{0DD0BC3E-C258-4A64-B87D-C95595B309B9}" name="Customer_Name" dataDxfId="22"/>
    <tableColumn id="21" xr3:uid="{73D1908F-7D28-4AFC-9C42-4860B59AE69F}" name="customer sort name" dataDxfId="21">
      <calculatedColumnFormula>LEFT(Table1[[#This Row],[Customer_Name]],1)&amp;LEFT(MID(Table1[[#This Row],[Customer_Name]],FIND(" ",Table1[[#This Row],[Customer_Name]])+1,50),1)</calculatedColumnFormula>
    </tableColumn>
    <tableColumn id="5" xr3:uid="{4FEB6F99-DD6B-4B4A-8F5E-B3C109120C14}" name="Product_ID" dataDxfId="20"/>
    <tableColumn id="6" xr3:uid="{ECDD35E1-9C38-49A4-BC2D-5E48131CC683}" name="Product_Name" dataDxfId="19"/>
    <tableColumn id="7" xr3:uid="{5B82590B-B45F-4819-B623-4BF669270A2E}" name="Category" dataDxfId="18"/>
    <tableColumn id="8" xr3:uid="{1B27CC68-298D-4ABB-98BF-E52BAD2C256D}" name="Quantity" dataDxfId="17"/>
    <tableColumn id="9" xr3:uid="{DD421463-0D2A-4663-9D55-9E9879BD6034}" name="Unit_Price" dataDxfId="16"/>
    <tableColumn id="10" xr3:uid="{22AA883B-51D1-491F-BED0-CDE50F40202E}" name="Payment_Method" dataDxfId="15"/>
    <tableColumn id="11" xr3:uid="{09C8F8BA-11B2-4FAD-B92F-E21AEDFE7270}" name="Region" dataDxfId="14"/>
    <tableColumn id="22" xr3:uid="{1F2A7FCB-98EF-4A2D-AB21-420D21CFD380}" name="region Code" dataDxfId="13">
      <calculatedColumnFormula>UPPER(LEFT(Table1[[#This Row],[Region]],2))</calculatedColumnFormula>
    </tableColumn>
    <tableColumn id="12" xr3:uid="{C39D96F1-C29C-4410-9A3B-46999F4936F9}" name="Customer_Segment" dataDxfId="12"/>
    <tableColumn id="13" xr3:uid="{0C75C1AD-ED2D-4CBB-BCF4-5AB93FD0DDC8}" name="Customer_Since" dataDxfId="11"/>
    <tableColumn id="14" xr3:uid="{5D8DA8AC-851C-4566-8D9B-DD15ABB06489}" name="Total_Amount" dataDxfId="10"/>
    <tableColumn id="15" xr3:uid="{2BB3A82C-4CB0-4845-995C-3883F19444B8}" name="Today_Date" dataDxfId="9">
      <calculatedColumnFormula>TODAY()</calculatedColumnFormula>
    </tableColumn>
    <tableColumn id="16" xr3:uid="{B18EBADE-8FCD-422D-BF30-9D122A819899}" name="current_Timestamp" dataDxfId="8">
      <calculatedColumnFormula>NOW()</calculatedColumnFormula>
    </tableColumn>
    <tableColumn id="17" xr3:uid="{DDBC105E-E08B-42A5-9469-6F86B7DE22B3}" name="Order_Age_Days" dataDxfId="7">
      <calculatedColumnFormula>DATEDIF(Table1[[#This Row],[Date]],TODAY(),"d")</calculatedColumnFormula>
    </tableColumn>
    <tableColumn id="18" xr3:uid="{19516BFB-098D-4101-A1BD-1F1E0BD091F8}" name="Month_End_Date" dataDxfId="6">
      <calculatedColumnFormula>EOMONTH(Table1[[#This Row],[Date]],0)</calculatedColumnFormula>
    </tableColumn>
    <tableColumn id="19" xr3:uid="{5C7BF32F-985B-4EC4-A60D-FF7350AF055B}" name="created_Timestamp" dataDxfId="5">
      <calculatedColumnFormula>IF($A2="", "", IF(X2=0, NOW(), X2))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E229-7E20-45A6-95FD-FEFCF03A5DFB}">
  <dimension ref="A1:S50"/>
  <sheetViews>
    <sheetView showGridLines="0" tabSelected="1" zoomScale="40" zoomScaleNormal="40" workbookViewId="0">
      <selection activeCell="AE37" sqref="AE37"/>
    </sheetView>
  </sheetViews>
  <sheetFormatPr defaultRowHeight="15" x14ac:dyDescent="0.25"/>
  <cols>
    <col min="7" max="7" width="12.5703125" customWidth="1"/>
    <col min="8" max="8" width="13.42578125" customWidth="1"/>
    <col min="19" max="19" width="15.28515625" bestFit="1" customWidth="1"/>
  </cols>
  <sheetData>
    <row r="1" spans="1:19" x14ac:dyDescent="0.25">
      <c r="A1" s="52"/>
      <c r="B1" s="52"/>
      <c r="C1" s="52"/>
      <c r="D1" s="52"/>
      <c r="E1" s="52"/>
      <c r="F1" s="52"/>
      <c r="G1" s="52"/>
      <c r="H1" s="52"/>
      <c r="I1" s="52"/>
      <c r="J1" s="52"/>
      <c r="K1" s="52"/>
      <c r="L1" s="52"/>
      <c r="M1" s="52"/>
      <c r="N1" s="52"/>
      <c r="O1" s="52"/>
      <c r="P1" s="52"/>
      <c r="Q1" s="52"/>
      <c r="R1" s="52"/>
      <c r="S1" s="82">
        <f>GETPIVOTDATA("Total_Amount",'pivot and charts'!$A$2)</f>
        <v>229192.47000000032</v>
      </c>
    </row>
    <row r="2" spans="1:19" x14ac:dyDescent="0.25">
      <c r="A2" s="52"/>
      <c r="B2" s="52"/>
      <c r="C2" s="52"/>
      <c r="D2" s="52"/>
      <c r="E2" s="52"/>
      <c r="F2" s="52"/>
      <c r="G2" s="52"/>
      <c r="H2" s="52"/>
      <c r="I2" s="52"/>
      <c r="J2" s="52"/>
      <c r="K2" s="52"/>
      <c r="L2" s="52"/>
      <c r="M2" s="52"/>
      <c r="N2" s="52"/>
      <c r="O2" s="52"/>
      <c r="P2" s="52"/>
      <c r="Q2" s="52"/>
      <c r="R2" s="52"/>
      <c r="S2" s="82">
        <f>GETPIVOTDATA("Total_Amount",'pivot and charts'!$A$8,"year",2024)</f>
        <v>160444.73000000013</v>
      </c>
    </row>
    <row r="3" spans="1:19" x14ac:dyDescent="0.25">
      <c r="A3" s="52"/>
      <c r="B3" s="52"/>
      <c r="C3" s="52"/>
      <c r="D3" s="52"/>
      <c r="E3" s="52"/>
      <c r="F3" s="52"/>
      <c r="G3" s="52"/>
      <c r="H3" s="52"/>
      <c r="I3" s="52"/>
      <c r="J3" s="52"/>
      <c r="K3" s="52"/>
      <c r="L3" s="52"/>
      <c r="M3" s="52"/>
      <c r="N3" s="52"/>
      <c r="O3" s="52"/>
      <c r="P3" s="52"/>
      <c r="Q3" s="52"/>
      <c r="R3" s="52"/>
      <c r="S3" s="82">
        <f>GETPIVOTDATA("Total_Amount",'pivot and charts'!$A$8,"year",2025)</f>
        <v>68747.74000000002</v>
      </c>
    </row>
    <row r="4" spans="1:19" x14ac:dyDescent="0.25">
      <c r="A4" s="52"/>
      <c r="B4" s="52"/>
      <c r="C4" s="52"/>
      <c r="D4" s="52"/>
      <c r="E4" s="52"/>
      <c r="F4" s="52"/>
      <c r="G4" s="52"/>
      <c r="H4" s="52"/>
      <c r="I4" s="52"/>
      <c r="J4" s="52"/>
      <c r="K4" s="52"/>
      <c r="L4" s="52"/>
      <c r="M4" s="52"/>
      <c r="N4" s="52"/>
      <c r="O4" s="52"/>
      <c r="P4" s="52"/>
      <c r="Q4" s="52"/>
      <c r="R4" s="52"/>
      <c r="S4" s="83">
        <f>GETPIVOTDATA("Sum of Total_Amount",'pivot and charts'!$A$12,"year",2025)</f>
        <v>-0.57151761855936334</v>
      </c>
    </row>
    <row r="5" spans="1:19" x14ac:dyDescent="0.25">
      <c r="A5" s="52"/>
      <c r="B5" s="52"/>
      <c r="C5" s="52"/>
      <c r="D5" s="52"/>
      <c r="E5" s="52"/>
      <c r="F5" s="52"/>
      <c r="G5" s="52"/>
      <c r="H5" s="52"/>
      <c r="I5" s="52"/>
      <c r="J5" s="52"/>
      <c r="K5" s="52"/>
      <c r="L5" s="52"/>
      <c r="M5" s="52"/>
      <c r="N5" s="52"/>
      <c r="O5" s="52"/>
      <c r="P5" s="52"/>
      <c r="Q5" s="52"/>
      <c r="R5" s="52"/>
      <c r="S5" s="84">
        <f>GETPIVOTDATA("Transaction_ID",'pivot and charts'!$A$4)</f>
        <v>250</v>
      </c>
    </row>
    <row r="6" spans="1:19" x14ac:dyDescent="0.25">
      <c r="A6" s="52"/>
      <c r="B6" s="52"/>
      <c r="C6" s="52"/>
      <c r="D6" s="52"/>
      <c r="E6" s="52"/>
      <c r="F6" s="52"/>
      <c r="G6" s="52"/>
      <c r="H6" s="52"/>
      <c r="I6" s="52"/>
      <c r="J6" s="52"/>
      <c r="K6" s="52"/>
      <c r="L6" s="52"/>
      <c r="M6" s="52"/>
      <c r="N6" s="52"/>
      <c r="O6" s="52"/>
      <c r="P6" s="52"/>
      <c r="Q6" s="52"/>
      <c r="R6" s="52"/>
      <c r="S6" s="84">
        <f>GETPIVOTDATA("Quantity",'pivot and charts'!$A$6)</f>
        <v>753</v>
      </c>
    </row>
    <row r="7" spans="1:19" x14ac:dyDescent="0.25">
      <c r="A7" s="52"/>
      <c r="B7" s="52"/>
      <c r="C7" s="52"/>
      <c r="D7" s="52"/>
      <c r="E7" s="52"/>
      <c r="F7" s="52"/>
      <c r="G7" s="52"/>
      <c r="H7" s="52"/>
      <c r="I7" s="52"/>
      <c r="J7" s="52"/>
      <c r="K7" s="52"/>
      <c r="L7" s="52"/>
      <c r="M7" s="52"/>
      <c r="N7" s="52"/>
      <c r="O7" s="52"/>
      <c r="P7" s="52"/>
      <c r="Q7" s="52"/>
      <c r="R7" s="52"/>
    </row>
    <row r="8" spans="1:19" x14ac:dyDescent="0.25">
      <c r="A8" s="52"/>
      <c r="B8" s="52"/>
      <c r="C8" s="52"/>
      <c r="D8" s="52"/>
      <c r="E8" s="52"/>
      <c r="F8" s="52"/>
      <c r="G8" s="52"/>
      <c r="H8" s="52"/>
      <c r="I8" s="52"/>
      <c r="J8" s="52"/>
      <c r="K8" s="52"/>
      <c r="L8" s="52"/>
      <c r="M8" s="52"/>
      <c r="N8" s="52"/>
      <c r="O8" s="52"/>
      <c r="P8" s="52"/>
      <c r="Q8" s="52"/>
      <c r="R8" s="52"/>
    </row>
    <row r="9" spans="1:19" x14ac:dyDescent="0.25">
      <c r="A9" s="52"/>
      <c r="B9" s="52"/>
      <c r="C9" s="52"/>
      <c r="D9" s="52"/>
      <c r="E9" s="52"/>
      <c r="F9" s="52"/>
      <c r="G9" s="52"/>
      <c r="H9" s="52"/>
      <c r="I9" s="52"/>
      <c r="J9" s="52"/>
      <c r="K9" s="52"/>
      <c r="L9" s="52"/>
      <c r="M9" s="52"/>
      <c r="N9" s="52"/>
      <c r="O9" s="52"/>
      <c r="P9" s="52"/>
      <c r="Q9" s="52"/>
      <c r="R9" s="52"/>
    </row>
    <row r="10" spans="1:19" x14ac:dyDescent="0.25">
      <c r="A10" s="52"/>
      <c r="B10" s="52"/>
      <c r="C10" s="52"/>
      <c r="D10" s="52"/>
      <c r="E10" s="52"/>
      <c r="F10" s="52"/>
      <c r="G10" s="52"/>
      <c r="H10" s="52"/>
      <c r="I10" s="52"/>
      <c r="J10" s="52"/>
      <c r="K10" s="52"/>
      <c r="L10" s="52"/>
      <c r="M10" s="52"/>
      <c r="N10" s="52"/>
      <c r="O10" s="52"/>
      <c r="P10" s="52"/>
      <c r="Q10" s="52"/>
      <c r="R10" s="52"/>
    </row>
    <row r="11" spans="1:19" x14ac:dyDescent="0.25">
      <c r="A11" s="52"/>
      <c r="B11" s="52"/>
      <c r="C11" s="52"/>
      <c r="D11" s="52"/>
      <c r="E11" s="52"/>
      <c r="F11" s="52"/>
      <c r="G11" s="52"/>
      <c r="H11" s="52"/>
      <c r="I11" s="52"/>
      <c r="J11" s="52"/>
      <c r="K11" s="52"/>
      <c r="L11" s="52"/>
      <c r="M11" s="52"/>
      <c r="N11" s="52"/>
      <c r="O11" s="52"/>
      <c r="P11" s="52"/>
      <c r="Q11" s="52"/>
      <c r="R11" s="52"/>
    </row>
    <row r="12" spans="1:19" x14ac:dyDescent="0.25">
      <c r="A12" s="52"/>
      <c r="B12" s="52"/>
      <c r="C12" s="52"/>
      <c r="D12" s="52"/>
      <c r="E12" s="52"/>
      <c r="F12" s="52"/>
      <c r="G12" s="52"/>
      <c r="H12" s="52"/>
      <c r="I12" s="52"/>
      <c r="J12" s="52"/>
      <c r="K12" s="52"/>
      <c r="L12" s="52"/>
      <c r="M12" s="52"/>
      <c r="N12" s="52"/>
      <c r="O12" s="52"/>
      <c r="P12" s="52"/>
      <c r="Q12" s="52"/>
      <c r="R12" s="52"/>
    </row>
    <row r="13" spans="1:19" x14ac:dyDescent="0.25">
      <c r="A13" s="52"/>
      <c r="B13" s="52"/>
      <c r="C13" s="52"/>
      <c r="D13" s="52"/>
      <c r="E13" s="52"/>
      <c r="F13" s="52"/>
      <c r="G13" s="52"/>
      <c r="H13" s="52"/>
      <c r="I13" s="52"/>
      <c r="J13" s="52"/>
      <c r="K13" s="52"/>
      <c r="L13" s="52"/>
      <c r="M13" s="52"/>
      <c r="N13" s="52"/>
      <c r="O13" s="52"/>
      <c r="P13" s="52"/>
      <c r="Q13" s="52"/>
      <c r="R13" s="52"/>
    </row>
    <row r="14" spans="1:19" x14ac:dyDescent="0.25">
      <c r="A14" s="52"/>
      <c r="B14" s="52"/>
      <c r="C14" s="52"/>
      <c r="D14" s="52"/>
      <c r="E14" s="52"/>
      <c r="F14" s="52"/>
      <c r="G14" s="52"/>
      <c r="H14" s="52"/>
      <c r="I14" s="52"/>
      <c r="J14" s="52"/>
      <c r="K14" s="52"/>
      <c r="L14" s="52"/>
      <c r="M14" s="52"/>
      <c r="N14" s="52"/>
      <c r="O14" s="52"/>
      <c r="P14" s="52"/>
      <c r="Q14" s="52"/>
      <c r="R14" s="52"/>
    </row>
    <row r="15" spans="1:19" x14ac:dyDescent="0.25">
      <c r="A15" s="52"/>
      <c r="B15" s="52"/>
      <c r="C15" s="52"/>
      <c r="D15" s="52"/>
      <c r="E15" s="52"/>
      <c r="F15" s="52"/>
      <c r="G15" s="52"/>
      <c r="H15" s="52"/>
      <c r="I15" s="52"/>
      <c r="J15" s="52"/>
      <c r="K15" s="52"/>
      <c r="L15" s="52"/>
      <c r="M15" s="52"/>
      <c r="N15" s="52"/>
      <c r="O15" s="52"/>
      <c r="P15" s="52"/>
      <c r="Q15" s="52"/>
      <c r="R15" s="52"/>
    </row>
    <row r="16" spans="1:19" x14ac:dyDescent="0.25">
      <c r="A16" s="52"/>
      <c r="B16" s="52"/>
      <c r="C16" s="52"/>
      <c r="D16" s="52"/>
      <c r="E16" s="52"/>
      <c r="F16" s="52"/>
      <c r="G16" s="52"/>
      <c r="H16" s="52"/>
      <c r="I16" s="52"/>
      <c r="J16" s="52"/>
      <c r="K16" s="52"/>
      <c r="L16" s="52"/>
      <c r="M16" s="52"/>
      <c r="N16" s="52"/>
      <c r="O16" s="52"/>
      <c r="P16" s="52"/>
      <c r="Q16" s="52"/>
      <c r="R16" s="52"/>
    </row>
    <row r="17" spans="1:18" x14ac:dyDescent="0.25">
      <c r="A17" s="52"/>
      <c r="B17" s="52"/>
      <c r="C17" s="52"/>
      <c r="D17" s="52"/>
      <c r="E17" s="52"/>
      <c r="F17" s="52"/>
      <c r="G17" s="52"/>
      <c r="H17" s="52"/>
      <c r="I17" s="52"/>
      <c r="J17" s="52"/>
      <c r="K17" s="52"/>
      <c r="L17" s="52"/>
      <c r="M17" s="52"/>
      <c r="N17" s="52"/>
      <c r="O17" s="52"/>
      <c r="P17" s="52"/>
      <c r="Q17" s="52"/>
      <c r="R17" s="52"/>
    </row>
    <row r="18" spans="1:18" x14ac:dyDescent="0.25">
      <c r="A18" s="52"/>
      <c r="B18" s="52"/>
      <c r="C18" s="52"/>
      <c r="D18" s="52"/>
      <c r="E18" s="52"/>
      <c r="F18" s="52"/>
      <c r="G18" s="52"/>
      <c r="H18" s="52"/>
      <c r="I18" s="52"/>
      <c r="J18" s="52"/>
      <c r="K18" s="52"/>
      <c r="L18" s="52"/>
      <c r="M18" s="52"/>
      <c r="N18" s="52"/>
      <c r="O18" s="52"/>
      <c r="P18" s="52"/>
      <c r="Q18" s="52"/>
      <c r="R18" s="52"/>
    </row>
    <row r="19" spans="1:18" x14ac:dyDescent="0.25">
      <c r="A19" s="52"/>
      <c r="B19" s="52"/>
      <c r="C19" s="52"/>
      <c r="D19" s="52"/>
      <c r="E19" s="52"/>
      <c r="F19" s="52"/>
      <c r="G19" s="52"/>
      <c r="H19" s="52"/>
      <c r="I19" s="52"/>
      <c r="J19" s="52"/>
      <c r="K19" s="52"/>
      <c r="L19" s="52"/>
      <c r="M19" s="52"/>
      <c r="N19" s="52"/>
      <c r="O19" s="52"/>
      <c r="P19" s="52"/>
      <c r="Q19" s="52"/>
      <c r="R19" s="52"/>
    </row>
    <row r="20" spans="1:18" x14ac:dyDescent="0.25">
      <c r="A20" s="52"/>
      <c r="B20" s="52"/>
      <c r="C20" s="52"/>
      <c r="D20" s="52"/>
      <c r="E20" s="52"/>
      <c r="F20" s="52"/>
      <c r="G20" s="52"/>
      <c r="H20" s="52"/>
      <c r="I20" s="52"/>
      <c r="J20" s="52"/>
      <c r="K20" s="52"/>
      <c r="L20" s="52"/>
      <c r="M20" s="52"/>
      <c r="N20" s="52"/>
      <c r="O20" s="52"/>
      <c r="P20" s="52"/>
      <c r="Q20" s="52"/>
      <c r="R20" s="52"/>
    </row>
    <row r="21" spans="1:18" x14ac:dyDescent="0.25">
      <c r="A21" s="52"/>
      <c r="B21" s="52"/>
      <c r="C21" s="52"/>
      <c r="D21" s="52"/>
      <c r="E21" s="52"/>
      <c r="F21" s="52"/>
      <c r="G21" s="52"/>
      <c r="H21" s="52"/>
      <c r="I21" s="52"/>
      <c r="J21" s="52"/>
      <c r="K21" s="52"/>
      <c r="L21" s="52"/>
      <c r="M21" s="52"/>
      <c r="N21" s="52"/>
      <c r="O21" s="52"/>
      <c r="P21" s="52"/>
      <c r="Q21" s="52"/>
      <c r="R21" s="52"/>
    </row>
    <row r="22" spans="1:18" x14ac:dyDescent="0.25">
      <c r="A22" s="52"/>
      <c r="B22" s="52"/>
      <c r="C22" s="52"/>
      <c r="D22" s="52"/>
      <c r="E22" s="52"/>
      <c r="F22" s="52"/>
      <c r="G22" s="52"/>
      <c r="H22" s="52"/>
      <c r="I22" s="52"/>
      <c r="J22" s="52"/>
      <c r="K22" s="52"/>
      <c r="L22" s="52"/>
      <c r="M22" s="52"/>
      <c r="N22" s="52"/>
      <c r="O22" s="52"/>
      <c r="P22" s="52"/>
      <c r="Q22" s="52"/>
      <c r="R22" s="52"/>
    </row>
    <row r="23" spans="1:18" x14ac:dyDescent="0.25">
      <c r="A23" s="52"/>
      <c r="B23" s="52"/>
      <c r="C23" s="52"/>
      <c r="D23" s="52"/>
      <c r="E23" s="52"/>
      <c r="F23" s="52"/>
      <c r="G23" s="52"/>
      <c r="H23" s="52"/>
      <c r="I23" s="52"/>
      <c r="J23" s="52"/>
      <c r="K23" s="52"/>
      <c r="L23" s="52"/>
      <c r="M23" s="52"/>
      <c r="N23" s="52"/>
      <c r="O23" s="52"/>
      <c r="P23" s="52"/>
      <c r="Q23" s="52"/>
      <c r="R23" s="52"/>
    </row>
    <row r="24" spans="1:18" x14ac:dyDescent="0.25">
      <c r="A24" s="52"/>
      <c r="B24" s="52"/>
      <c r="C24" s="52"/>
      <c r="D24" s="52"/>
      <c r="E24" s="52"/>
      <c r="F24" s="52"/>
      <c r="G24" s="52"/>
      <c r="H24" s="52"/>
      <c r="I24" s="52"/>
      <c r="J24" s="52"/>
      <c r="K24" s="52"/>
      <c r="L24" s="52"/>
      <c r="M24" s="52"/>
      <c r="N24" s="52"/>
      <c r="O24" s="52"/>
      <c r="P24" s="52"/>
      <c r="Q24" s="52"/>
      <c r="R24" s="52"/>
    </row>
    <row r="25" spans="1:18" x14ac:dyDescent="0.25">
      <c r="A25" s="52"/>
      <c r="B25" s="52"/>
      <c r="C25" s="52"/>
      <c r="D25" s="52"/>
      <c r="E25" s="52"/>
      <c r="F25" s="52"/>
      <c r="G25" s="52"/>
      <c r="H25" s="52"/>
      <c r="I25" s="52"/>
      <c r="J25" s="52"/>
      <c r="K25" s="52"/>
      <c r="L25" s="52"/>
      <c r="M25" s="52"/>
      <c r="N25" s="52"/>
      <c r="O25" s="52"/>
      <c r="P25" s="52"/>
      <c r="Q25" s="52"/>
      <c r="R25" s="52"/>
    </row>
    <row r="26" spans="1:18" x14ac:dyDescent="0.25">
      <c r="A26" s="52"/>
      <c r="B26" s="52"/>
      <c r="C26" s="52"/>
      <c r="D26" s="52"/>
      <c r="E26" s="52"/>
      <c r="F26" s="52"/>
      <c r="G26" s="52"/>
      <c r="H26" s="52"/>
      <c r="I26" s="52"/>
      <c r="J26" s="52"/>
      <c r="K26" s="52"/>
      <c r="L26" s="52"/>
      <c r="M26" s="52"/>
      <c r="N26" s="52"/>
      <c r="O26" s="52"/>
      <c r="P26" s="52"/>
      <c r="Q26" s="52"/>
      <c r="R26" s="52"/>
    </row>
    <row r="27" spans="1:18" x14ac:dyDescent="0.25">
      <c r="A27" s="52"/>
      <c r="B27" s="52"/>
      <c r="C27" s="52"/>
      <c r="D27" s="52"/>
      <c r="E27" s="52"/>
      <c r="F27" s="52"/>
      <c r="G27" s="52"/>
      <c r="H27" s="52"/>
      <c r="I27" s="52"/>
      <c r="J27" s="52"/>
      <c r="K27" s="52"/>
      <c r="L27" s="52"/>
      <c r="M27" s="52"/>
      <c r="N27" s="52"/>
      <c r="O27" s="52"/>
      <c r="P27" s="52"/>
      <c r="Q27" s="52"/>
      <c r="R27" s="52"/>
    </row>
    <row r="28" spans="1:18" x14ac:dyDescent="0.25">
      <c r="A28" s="52"/>
      <c r="B28" s="52"/>
      <c r="C28" s="52"/>
      <c r="D28" s="52"/>
      <c r="E28" s="52"/>
      <c r="F28" s="52"/>
      <c r="G28" s="52"/>
      <c r="H28" s="52"/>
      <c r="I28" s="52"/>
      <c r="J28" s="52"/>
      <c r="K28" s="52"/>
      <c r="L28" s="52"/>
      <c r="M28" s="52"/>
      <c r="N28" s="52"/>
      <c r="O28" s="52"/>
      <c r="P28" s="52"/>
      <c r="Q28" s="52"/>
      <c r="R28" s="52"/>
    </row>
    <row r="29" spans="1:18" x14ac:dyDescent="0.25">
      <c r="A29" s="52"/>
      <c r="B29" s="52"/>
      <c r="C29" s="52"/>
      <c r="D29" s="52"/>
      <c r="E29" s="52"/>
      <c r="F29" s="52"/>
      <c r="G29" s="52"/>
      <c r="H29" s="52"/>
      <c r="I29" s="52"/>
      <c r="J29" s="52"/>
      <c r="K29" s="52"/>
      <c r="L29" s="52"/>
      <c r="M29" s="52"/>
      <c r="N29" s="52"/>
      <c r="O29" s="52"/>
      <c r="P29" s="52"/>
      <c r="Q29" s="52"/>
      <c r="R29" s="52"/>
    </row>
    <row r="30" spans="1:18" x14ac:dyDescent="0.25">
      <c r="A30" s="52"/>
      <c r="B30" s="52"/>
      <c r="C30" s="52"/>
      <c r="D30" s="52"/>
      <c r="E30" s="52"/>
      <c r="F30" s="52"/>
      <c r="G30" s="52"/>
      <c r="H30" s="52"/>
      <c r="I30" s="52"/>
      <c r="J30" s="52"/>
      <c r="K30" s="52"/>
      <c r="L30" s="52"/>
      <c r="M30" s="52"/>
      <c r="N30" s="52"/>
      <c r="O30" s="52"/>
      <c r="P30" s="52"/>
      <c r="Q30" s="52"/>
      <c r="R30" s="52"/>
    </row>
    <row r="31" spans="1:18" x14ac:dyDescent="0.25">
      <c r="A31" s="52"/>
      <c r="B31" s="52"/>
      <c r="C31" s="52"/>
      <c r="D31" s="52"/>
      <c r="E31" s="52"/>
      <c r="F31" s="52"/>
      <c r="G31" s="52"/>
      <c r="H31" s="52"/>
      <c r="I31" s="52"/>
      <c r="J31" s="52"/>
      <c r="K31" s="52"/>
      <c r="L31" s="52"/>
      <c r="M31" s="52"/>
      <c r="N31" s="52"/>
      <c r="O31" s="52"/>
      <c r="P31" s="52"/>
      <c r="Q31" s="52"/>
      <c r="R31" s="52"/>
    </row>
    <row r="32" spans="1:18" x14ac:dyDescent="0.25">
      <c r="A32" s="52"/>
      <c r="B32" s="52"/>
      <c r="C32" s="52"/>
      <c r="D32" s="52"/>
      <c r="E32" s="52"/>
      <c r="F32" s="52"/>
      <c r="G32" s="52"/>
      <c r="H32" s="52"/>
      <c r="I32" s="52"/>
      <c r="J32" s="52"/>
      <c r="K32" s="52"/>
      <c r="L32" s="52"/>
      <c r="M32" s="52"/>
      <c r="N32" s="52"/>
      <c r="O32" s="52"/>
      <c r="P32" s="52"/>
      <c r="Q32" s="52"/>
      <c r="R32" s="52"/>
    </row>
    <row r="33" spans="1:18" x14ac:dyDescent="0.25">
      <c r="A33" s="52"/>
      <c r="B33" s="52"/>
      <c r="C33" s="52"/>
      <c r="D33" s="52"/>
      <c r="E33" s="52"/>
      <c r="F33" s="52"/>
      <c r="G33" s="52"/>
      <c r="H33" s="52"/>
      <c r="I33" s="52"/>
      <c r="J33" s="52"/>
      <c r="K33" s="52"/>
      <c r="L33" s="52"/>
      <c r="M33" s="52"/>
      <c r="N33" s="52"/>
      <c r="O33" s="52"/>
      <c r="P33" s="52"/>
      <c r="Q33" s="52"/>
      <c r="R33" s="52"/>
    </row>
    <row r="34" spans="1:18" x14ac:dyDescent="0.25">
      <c r="A34" s="52"/>
      <c r="B34" s="52"/>
      <c r="C34" s="52"/>
      <c r="D34" s="52"/>
      <c r="E34" s="52"/>
      <c r="F34" s="52"/>
      <c r="G34" s="52"/>
      <c r="H34" s="52"/>
      <c r="I34" s="52"/>
      <c r="J34" s="52"/>
      <c r="K34" s="52"/>
      <c r="L34" s="52"/>
      <c r="M34" s="52"/>
      <c r="N34" s="52"/>
      <c r="O34" s="52"/>
      <c r="P34" s="52"/>
      <c r="Q34" s="52"/>
      <c r="R34" s="52"/>
    </row>
    <row r="35" spans="1:18" x14ac:dyDescent="0.25">
      <c r="A35" s="52"/>
      <c r="B35" s="52"/>
      <c r="C35" s="52"/>
      <c r="D35" s="52"/>
      <c r="E35" s="52"/>
      <c r="F35" s="52"/>
      <c r="G35" s="52"/>
      <c r="H35" s="52"/>
      <c r="I35" s="52"/>
      <c r="J35" s="52"/>
      <c r="K35" s="52"/>
      <c r="L35" s="52"/>
      <c r="M35" s="52"/>
      <c r="N35" s="52"/>
      <c r="O35" s="52"/>
      <c r="P35" s="52"/>
      <c r="Q35" s="52"/>
      <c r="R35" s="52"/>
    </row>
    <row r="36" spans="1:18" x14ac:dyDescent="0.25">
      <c r="A36" s="52"/>
      <c r="B36" s="52"/>
      <c r="C36" s="52"/>
      <c r="D36" s="52"/>
      <c r="E36" s="52"/>
      <c r="F36" s="52"/>
      <c r="G36" s="52"/>
      <c r="H36" s="52"/>
      <c r="I36" s="52"/>
      <c r="J36" s="52"/>
      <c r="K36" s="52"/>
      <c r="L36" s="52"/>
      <c r="M36" s="52"/>
      <c r="N36" s="52"/>
      <c r="O36" s="52"/>
      <c r="P36" s="52"/>
      <c r="Q36" s="52"/>
      <c r="R36" s="52"/>
    </row>
    <row r="37" spans="1:18" x14ac:dyDescent="0.25">
      <c r="A37" s="52"/>
      <c r="B37" s="52"/>
      <c r="C37" s="52"/>
      <c r="D37" s="52"/>
      <c r="E37" s="52"/>
      <c r="F37" s="52"/>
      <c r="G37" s="52"/>
      <c r="H37" s="52"/>
      <c r="I37" s="52"/>
      <c r="J37" s="52"/>
      <c r="K37" s="52"/>
      <c r="L37" s="52"/>
      <c r="M37" s="52"/>
      <c r="N37" s="52"/>
      <c r="O37" s="52"/>
      <c r="P37" s="52"/>
      <c r="Q37" s="52"/>
      <c r="R37" s="52"/>
    </row>
    <row r="38" spans="1:18" x14ac:dyDescent="0.25">
      <c r="A38" s="52"/>
      <c r="B38" s="52"/>
      <c r="C38" s="52"/>
      <c r="D38" s="52"/>
      <c r="E38" s="52"/>
      <c r="F38" s="52"/>
      <c r="G38" s="52"/>
      <c r="H38" s="52"/>
      <c r="I38" s="52"/>
      <c r="J38" s="52"/>
      <c r="K38" s="52"/>
      <c r="L38" s="52"/>
      <c r="M38" s="52"/>
      <c r="N38" s="52"/>
      <c r="O38" s="52"/>
      <c r="P38" s="52"/>
      <c r="Q38" s="52"/>
      <c r="R38" s="52"/>
    </row>
    <row r="39" spans="1:18" x14ac:dyDescent="0.25">
      <c r="A39" s="52"/>
      <c r="B39" s="52"/>
      <c r="C39" s="52"/>
      <c r="D39" s="52"/>
      <c r="E39" s="52"/>
      <c r="F39" s="52"/>
      <c r="G39" s="52"/>
      <c r="H39" s="52"/>
      <c r="I39" s="52"/>
      <c r="J39" s="52"/>
      <c r="K39" s="52"/>
      <c r="L39" s="52"/>
      <c r="M39" s="52"/>
      <c r="N39" s="52"/>
      <c r="O39" s="52"/>
      <c r="P39" s="52"/>
      <c r="Q39" s="52"/>
      <c r="R39" s="52"/>
    </row>
    <row r="40" spans="1:18" x14ac:dyDescent="0.25">
      <c r="A40" s="52"/>
      <c r="B40" s="52"/>
      <c r="C40" s="52"/>
      <c r="D40" s="52"/>
      <c r="E40" s="52"/>
      <c r="F40" s="52"/>
      <c r="G40" s="52"/>
      <c r="H40" s="52"/>
      <c r="I40" s="52"/>
      <c r="J40" s="52"/>
      <c r="K40" s="52"/>
      <c r="L40" s="52"/>
      <c r="M40" s="52"/>
      <c r="N40" s="52"/>
      <c r="O40" s="52"/>
      <c r="P40" s="52"/>
      <c r="Q40" s="52"/>
      <c r="R40" s="52"/>
    </row>
    <row r="41" spans="1:18" x14ac:dyDescent="0.25">
      <c r="A41" s="52"/>
      <c r="B41" s="52"/>
      <c r="C41" s="52"/>
      <c r="D41" s="52"/>
      <c r="E41" s="52"/>
      <c r="F41" s="52"/>
      <c r="G41" s="52"/>
      <c r="H41" s="52"/>
      <c r="I41" s="52"/>
      <c r="J41" s="52"/>
      <c r="K41" s="52"/>
      <c r="L41" s="52"/>
      <c r="M41" s="52"/>
      <c r="N41" s="52"/>
      <c r="O41" s="52"/>
      <c r="P41" s="52"/>
      <c r="Q41" s="52"/>
      <c r="R41" s="52"/>
    </row>
    <row r="42" spans="1:18" x14ac:dyDescent="0.25">
      <c r="A42" s="52"/>
      <c r="B42" s="52"/>
      <c r="C42" s="52"/>
      <c r="D42" s="52"/>
      <c r="E42" s="52"/>
      <c r="F42" s="52"/>
      <c r="G42" s="52"/>
      <c r="H42" s="52"/>
      <c r="I42" s="52"/>
      <c r="J42" s="52"/>
      <c r="K42" s="52"/>
      <c r="L42" s="52"/>
      <c r="M42" s="52"/>
      <c r="N42" s="52"/>
      <c r="O42" s="52"/>
      <c r="P42" s="52"/>
      <c r="Q42" s="52"/>
      <c r="R42" s="52"/>
    </row>
    <row r="43" spans="1:18" x14ac:dyDescent="0.25">
      <c r="A43" s="52"/>
      <c r="B43" s="52"/>
      <c r="C43" s="52"/>
      <c r="D43" s="52"/>
      <c r="E43" s="52"/>
      <c r="F43" s="52"/>
      <c r="G43" s="52"/>
      <c r="H43" s="52"/>
      <c r="I43" s="52"/>
      <c r="J43" s="52"/>
      <c r="K43" s="52"/>
      <c r="L43" s="52"/>
      <c r="M43" s="52"/>
      <c r="N43" s="52"/>
      <c r="O43" s="52"/>
      <c r="P43" s="52"/>
      <c r="Q43" s="52"/>
      <c r="R43" s="52"/>
    </row>
    <row r="44" spans="1:18" x14ac:dyDescent="0.25">
      <c r="A44" s="52"/>
      <c r="B44" s="52"/>
      <c r="C44" s="52"/>
      <c r="D44" s="52"/>
      <c r="E44" s="52"/>
      <c r="F44" s="52"/>
      <c r="G44" s="52"/>
      <c r="H44" s="52"/>
      <c r="I44" s="52"/>
      <c r="J44" s="52"/>
      <c r="K44" s="52"/>
      <c r="L44" s="52"/>
      <c r="M44" s="52"/>
      <c r="N44" s="52"/>
      <c r="O44" s="52"/>
      <c r="P44" s="52"/>
      <c r="Q44" s="52"/>
      <c r="R44" s="52"/>
    </row>
    <row r="45" spans="1:18" x14ac:dyDescent="0.25">
      <c r="A45" s="52"/>
      <c r="B45" s="52"/>
      <c r="C45" s="52"/>
      <c r="D45" s="52"/>
      <c r="E45" s="52"/>
      <c r="F45" s="52"/>
      <c r="G45" s="52"/>
      <c r="H45" s="52"/>
      <c r="I45" s="52"/>
      <c r="J45" s="52"/>
      <c r="K45" s="52"/>
      <c r="L45" s="52"/>
      <c r="M45" s="52"/>
      <c r="N45" s="52"/>
      <c r="O45" s="52"/>
      <c r="P45" s="52"/>
      <c r="Q45" s="52"/>
      <c r="R45" s="52"/>
    </row>
    <row r="46" spans="1:18" x14ac:dyDescent="0.25">
      <c r="A46" s="52"/>
      <c r="B46" s="52"/>
      <c r="C46" s="52"/>
      <c r="D46" s="52"/>
      <c r="E46" s="52"/>
      <c r="F46" s="52"/>
      <c r="G46" s="52"/>
      <c r="H46" s="52"/>
      <c r="I46" s="52"/>
      <c r="J46" s="52"/>
      <c r="K46" s="52"/>
      <c r="L46" s="52"/>
      <c r="M46" s="52"/>
      <c r="N46" s="52"/>
      <c r="O46" s="52"/>
      <c r="P46" s="52"/>
      <c r="Q46" s="52"/>
      <c r="R46" s="52"/>
    </row>
    <row r="47" spans="1:18" x14ac:dyDescent="0.25">
      <c r="A47" s="52"/>
      <c r="B47" s="52"/>
      <c r="C47" s="52"/>
      <c r="D47" s="52"/>
      <c r="E47" s="52"/>
      <c r="F47" s="52"/>
      <c r="G47" s="52"/>
      <c r="H47" s="52"/>
      <c r="I47" s="52"/>
      <c r="J47" s="52"/>
      <c r="K47" s="52"/>
      <c r="L47" s="52"/>
      <c r="M47" s="52"/>
      <c r="N47" s="52"/>
      <c r="O47" s="52"/>
      <c r="P47" s="52"/>
      <c r="Q47" s="52"/>
      <c r="R47" s="52"/>
    </row>
    <row r="48" spans="1:18" x14ac:dyDescent="0.25">
      <c r="A48" s="52"/>
      <c r="B48" s="52"/>
      <c r="C48" s="52"/>
      <c r="D48" s="52"/>
      <c r="E48" s="52"/>
      <c r="F48" s="52"/>
      <c r="G48" s="52"/>
      <c r="H48" s="52"/>
      <c r="I48" s="52"/>
      <c r="J48" s="52"/>
      <c r="K48" s="52"/>
      <c r="L48" s="52"/>
      <c r="M48" s="52"/>
      <c r="N48" s="52"/>
      <c r="O48" s="52"/>
      <c r="P48" s="52"/>
      <c r="Q48" s="52"/>
      <c r="R48" s="52"/>
    </row>
    <row r="50" spans="9:9" x14ac:dyDescent="0.25">
      <c r="I50" s="5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03968-0BF7-4D4C-8E4D-BEF84EC2C3B9}">
  <dimension ref="A1:L34"/>
  <sheetViews>
    <sheetView showGridLines="0" workbookViewId="0">
      <selection activeCell="R9" sqref="R9"/>
    </sheetView>
  </sheetViews>
  <sheetFormatPr defaultRowHeight="15" x14ac:dyDescent="0.25"/>
  <cols>
    <col min="1" max="1" width="15.42578125" bestFit="1" customWidth="1"/>
    <col min="2" max="2" width="20.42578125" bestFit="1" customWidth="1"/>
    <col min="4" max="4" width="18.28515625" bestFit="1" customWidth="1"/>
    <col min="5" max="5" width="20.42578125" bestFit="1" customWidth="1"/>
  </cols>
  <sheetData>
    <row r="1" spans="1:12" x14ac:dyDescent="0.25">
      <c r="A1" s="85"/>
      <c r="B1" s="86"/>
      <c r="C1" s="86"/>
      <c r="D1" s="85" t="s">
        <v>3</v>
      </c>
      <c r="E1" s="87" t="s">
        <v>465</v>
      </c>
      <c r="F1" s="86"/>
      <c r="G1" s="86"/>
      <c r="H1" s="86"/>
      <c r="I1" s="86"/>
      <c r="J1" s="86"/>
      <c r="K1" s="86"/>
      <c r="L1" s="87"/>
    </row>
    <row r="2" spans="1:12" x14ac:dyDescent="0.25">
      <c r="A2" s="88"/>
      <c r="B2" s="56"/>
      <c r="C2" s="56"/>
      <c r="D2" s="88" t="s">
        <v>97</v>
      </c>
      <c r="E2" s="93">
        <v>10649.8</v>
      </c>
      <c r="F2" s="56"/>
      <c r="G2" s="56"/>
      <c r="H2" s="56"/>
      <c r="I2" s="56"/>
      <c r="J2" s="56"/>
      <c r="K2" s="56"/>
      <c r="L2" s="89"/>
    </row>
    <row r="3" spans="1:12" x14ac:dyDescent="0.25">
      <c r="A3" s="88"/>
      <c r="B3" s="56"/>
      <c r="C3" s="56"/>
      <c r="D3" s="88" t="s">
        <v>148</v>
      </c>
      <c r="E3" s="93">
        <v>7309.7999999999993</v>
      </c>
      <c r="F3" s="56"/>
      <c r="G3" s="56"/>
      <c r="H3" s="56"/>
      <c r="I3" s="56"/>
      <c r="J3" s="56"/>
      <c r="K3" s="56"/>
      <c r="L3" s="89"/>
    </row>
    <row r="4" spans="1:12" x14ac:dyDescent="0.25">
      <c r="A4" s="88"/>
      <c r="B4" s="56"/>
      <c r="C4" s="56"/>
      <c r="D4" s="88" t="s">
        <v>49</v>
      </c>
      <c r="E4" s="93">
        <v>8269.7900000000009</v>
      </c>
      <c r="F4" s="56"/>
      <c r="G4" s="56"/>
      <c r="H4" s="56"/>
      <c r="I4" s="56"/>
      <c r="J4" s="56"/>
      <c r="K4" s="56"/>
      <c r="L4" s="89"/>
    </row>
    <row r="5" spans="1:12" x14ac:dyDescent="0.25">
      <c r="A5" s="88"/>
      <c r="B5" s="56"/>
      <c r="C5" s="56"/>
      <c r="D5" s="88" t="s">
        <v>124</v>
      </c>
      <c r="E5" s="93">
        <v>11919.769999999999</v>
      </c>
      <c r="F5" s="56"/>
      <c r="G5" s="56"/>
      <c r="H5" s="56"/>
      <c r="I5" s="56"/>
      <c r="J5" s="56"/>
      <c r="K5" s="56"/>
      <c r="L5" s="89"/>
    </row>
    <row r="6" spans="1:12" x14ac:dyDescent="0.25">
      <c r="A6" s="88"/>
      <c r="B6" s="56"/>
      <c r="C6" s="56"/>
      <c r="D6" s="88" t="s">
        <v>25</v>
      </c>
      <c r="E6" s="93">
        <v>6949.84</v>
      </c>
      <c r="F6" s="56"/>
      <c r="G6" s="56"/>
      <c r="H6" s="56"/>
      <c r="I6" s="56"/>
      <c r="J6" s="56"/>
      <c r="K6" s="56"/>
      <c r="L6" s="89"/>
    </row>
    <row r="7" spans="1:12" x14ac:dyDescent="0.25">
      <c r="A7" s="88"/>
      <c r="B7" s="56"/>
      <c r="C7" s="56"/>
      <c r="D7" s="88" t="s">
        <v>66</v>
      </c>
      <c r="E7" s="93">
        <v>8009.7699999999995</v>
      </c>
      <c r="F7" s="56"/>
      <c r="G7" s="56"/>
      <c r="H7" s="56"/>
      <c r="I7" s="56"/>
      <c r="J7" s="56"/>
      <c r="K7" s="56"/>
      <c r="L7" s="89"/>
    </row>
    <row r="8" spans="1:12" x14ac:dyDescent="0.25">
      <c r="A8" s="88"/>
      <c r="B8" s="56"/>
      <c r="C8" s="56"/>
      <c r="D8" s="88" t="s">
        <v>227</v>
      </c>
      <c r="E8" s="93">
        <v>6989.7699999999986</v>
      </c>
      <c r="F8" s="56"/>
      <c r="G8" s="56"/>
      <c r="H8" s="56"/>
      <c r="I8" s="56"/>
      <c r="J8" s="56"/>
      <c r="K8" s="56"/>
      <c r="L8" s="89"/>
    </row>
    <row r="9" spans="1:12" x14ac:dyDescent="0.25">
      <c r="A9" s="88"/>
      <c r="B9" s="56"/>
      <c r="C9" s="56"/>
      <c r="D9" s="88" t="s">
        <v>87</v>
      </c>
      <c r="E9" s="93">
        <v>15659.65</v>
      </c>
      <c r="F9" s="56"/>
      <c r="G9" s="56"/>
      <c r="H9" s="56"/>
      <c r="I9" s="56"/>
      <c r="J9" s="56"/>
      <c r="K9" s="56"/>
      <c r="L9" s="89"/>
    </row>
    <row r="10" spans="1:12" x14ac:dyDescent="0.25">
      <c r="A10" s="88"/>
      <c r="B10" s="56"/>
      <c r="C10" s="56"/>
      <c r="D10" s="88" t="s">
        <v>100</v>
      </c>
      <c r="E10" s="93">
        <v>9799.73</v>
      </c>
      <c r="F10" s="56"/>
      <c r="G10" s="56"/>
      <c r="H10" s="56"/>
      <c r="I10" s="56"/>
      <c r="J10" s="56"/>
      <c r="K10" s="56"/>
      <c r="L10" s="89"/>
    </row>
    <row r="11" spans="1:12" x14ac:dyDescent="0.25">
      <c r="A11" s="88"/>
      <c r="B11" s="56"/>
      <c r="C11" s="56"/>
      <c r="D11" s="88" t="s">
        <v>16</v>
      </c>
      <c r="E11" s="93">
        <v>8309.739999999998</v>
      </c>
      <c r="F11" s="56"/>
      <c r="G11" s="56"/>
      <c r="H11" s="56"/>
      <c r="I11" s="56"/>
      <c r="J11" s="56"/>
      <c r="K11" s="56"/>
      <c r="L11" s="89"/>
    </row>
    <row r="12" spans="1:12" ht="15.75" thickBot="1" x14ac:dyDescent="0.3">
      <c r="A12" s="88"/>
      <c r="B12" s="56"/>
      <c r="C12" s="56"/>
      <c r="D12" s="90" t="s">
        <v>464</v>
      </c>
      <c r="E12" s="94">
        <v>93867.659999999974</v>
      </c>
      <c r="F12" s="56"/>
      <c r="G12" s="56"/>
      <c r="H12" s="56"/>
      <c r="I12" s="56"/>
      <c r="J12" s="56"/>
      <c r="K12" s="56"/>
      <c r="L12" s="89"/>
    </row>
    <row r="13" spans="1:12" x14ac:dyDescent="0.25">
      <c r="A13" s="88"/>
      <c r="B13" s="56"/>
      <c r="C13" s="56"/>
      <c r="D13" s="56"/>
      <c r="E13" s="56"/>
      <c r="F13" s="56"/>
      <c r="G13" s="56"/>
      <c r="H13" s="56"/>
      <c r="I13" s="56"/>
      <c r="J13" s="56"/>
      <c r="K13" s="56"/>
      <c r="L13" s="89"/>
    </row>
    <row r="14" spans="1:12" x14ac:dyDescent="0.25">
      <c r="A14" s="88"/>
      <c r="B14" s="56"/>
      <c r="C14" s="56"/>
      <c r="D14" s="56"/>
      <c r="E14" s="56"/>
      <c r="F14" s="56"/>
      <c r="G14" s="56"/>
      <c r="H14" s="56"/>
      <c r="I14" s="56"/>
      <c r="J14" s="56"/>
      <c r="K14" s="56"/>
      <c r="L14" s="89"/>
    </row>
    <row r="15" spans="1:12" x14ac:dyDescent="0.25">
      <c r="A15" s="88"/>
      <c r="B15" s="56"/>
      <c r="C15" s="56"/>
      <c r="D15" s="56"/>
      <c r="E15" s="56"/>
      <c r="F15" s="56"/>
      <c r="G15" s="56"/>
      <c r="H15" s="56"/>
      <c r="I15" s="56"/>
      <c r="J15" s="56"/>
      <c r="K15" s="56"/>
      <c r="L15" s="89"/>
    </row>
    <row r="16" spans="1:12" x14ac:dyDescent="0.25">
      <c r="A16" s="88"/>
      <c r="B16" s="56"/>
      <c r="C16" s="56"/>
      <c r="D16" s="56"/>
      <c r="E16" s="56"/>
      <c r="F16" s="56"/>
      <c r="G16" s="56"/>
      <c r="H16" s="56"/>
      <c r="I16" s="56"/>
      <c r="J16" s="56"/>
      <c r="K16" s="56"/>
      <c r="L16" s="89"/>
    </row>
    <row r="17" spans="1:12" x14ac:dyDescent="0.25">
      <c r="A17" s="88"/>
      <c r="B17" s="56"/>
      <c r="C17" s="56"/>
      <c r="D17" s="56"/>
      <c r="E17" s="56"/>
      <c r="F17" s="56"/>
      <c r="G17" s="56"/>
      <c r="H17" s="56"/>
      <c r="I17" s="56"/>
      <c r="J17" s="56"/>
      <c r="K17" s="56"/>
      <c r="L17" s="89"/>
    </row>
    <row r="18" spans="1:12" x14ac:dyDescent="0.25">
      <c r="A18" s="88"/>
      <c r="B18" s="56"/>
      <c r="C18" s="56"/>
      <c r="D18" s="56"/>
      <c r="E18" s="56"/>
      <c r="F18" s="56"/>
      <c r="G18" s="56"/>
      <c r="H18" s="56"/>
      <c r="I18" s="56"/>
      <c r="J18" s="56"/>
      <c r="K18" s="56"/>
      <c r="L18" s="89"/>
    </row>
    <row r="19" spans="1:12" x14ac:dyDescent="0.25">
      <c r="A19" s="88"/>
      <c r="B19" s="56"/>
      <c r="C19" s="56"/>
      <c r="D19" s="56"/>
      <c r="E19" s="56"/>
      <c r="F19" s="56"/>
      <c r="G19" s="56"/>
      <c r="H19" s="56"/>
      <c r="I19" s="56"/>
      <c r="J19" s="56"/>
      <c r="K19" s="56"/>
      <c r="L19" s="89"/>
    </row>
    <row r="20" spans="1:12" x14ac:dyDescent="0.25">
      <c r="A20" s="88"/>
      <c r="B20" s="56"/>
      <c r="C20" s="56"/>
      <c r="D20" s="56"/>
      <c r="E20" s="56"/>
      <c r="F20" s="56"/>
      <c r="G20" s="56"/>
      <c r="H20" s="56"/>
      <c r="I20" s="56"/>
      <c r="J20" s="56"/>
      <c r="K20" s="56"/>
      <c r="L20" s="89"/>
    </row>
    <row r="21" spans="1:12" x14ac:dyDescent="0.25">
      <c r="A21" s="88"/>
      <c r="B21" s="56"/>
      <c r="C21" s="56"/>
      <c r="D21" s="56"/>
      <c r="E21" s="56"/>
      <c r="F21" s="56"/>
      <c r="G21" s="56"/>
      <c r="H21" s="56"/>
      <c r="I21" s="56"/>
      <c r="J21" s="56"/>
      <c r="K21" s="56"/>
      <c r="L21" s="89"/>
    </row>
    <row r="22" spans="1:12" x14ac:dyDescent="0.25">
      <c r="A22" s="88"/>
      <c r="B22" s="56"/>
      <c r="C22" s="56"/>
      <c r="D22" s="56"/>
      <c r="E22" s="56"/>
      <c r="F22" s="56"/>
      <c r="G22" s="56"/>
      <c r="H22" s="56"/>
      <c r="I22" s="56"/>
      <c r="J22" s="56"/>
      <c r="K22" s="56"/>
      <c r="L22" s="89"/>
    </row>
    <row r="23" spans="1:12" x14ac:dyDescent="0.25">
      <c r="A23" s="88"/>
      <c r="B23" s="56"/>
      <c r="C23" s="56"/>
      <c r="D23" s="56"/>
      <c r="E23" s="56"/>
      <c r="F23" s="56"/>
      <c r="G23" s="56"/>
      <c r="H23" s="56"/>
      <c r="I23" s="56"/>
      <c r="J23" s="56"/>
      <c r="K23" s="56"/>
      <c r="L23" s="89"/>
    </row>
    <row r="24" spans="1:12" x14ac:dyDescent="0.25">
      <c r="A24" s="88"/>
      <c r="B24" s="56"/>
      <c r="C24" s="56"/>
      <c r="D24" s="56"/>
      <c r="E24" s="56"/>
      <c r="F24" s="56"/>
      <c r="G24" s="56"/>
      <c r="H24" s="56"/>
      <c r="I24" s="56"/>
      <c r="J24" s="56"/>
      <c r="K24" s="56"/>
      <c r="L24" s="89"/>
    </row>
    <row r="25" spans="1:12" x14ac:dyDescent="0.25">
      <c r="A25" s="88"/>
      <c r="B25" s="56"/>
      <c r="C25" s="56"/>
      <c r="D25" s="56"/>
      <c r="E25" s="56"/>
      <c r="F25" s="56"/>
      <c r="G25" s="56"/>
      <c r="H25" s="56"/>
      <c r="I25" s="56"/>
      <c r="J25" s="56"/>
      <c r="K25" s="56"/>
      <c r="L25" s="89"/>
    </row>
    <row r="26" spans="1:12" x14ac:dyDescent="0.25">
      <c r="A26" s="88"/>
      <c r="B26" s="56"/>
      <c r="C26" s="56"/>
      <c r="D26" s="56"/>
      <c r="E26" s="56"/>
      <c r="F26" s="56"/>
      <c r="G26" s="56"/>
      <c r="H26" s="56"/>
      <c r="I26" s="56"/>
      <c r="J26" s="56"/>
      <c r="K26" s="56"/>
      <c r="L26" s="89"/>
    </row>
    <row r="27" spans="1:12" x14ac:dyDescent="0.25">
      <c r="A27" s="88"/>
      <c r="B27" s="56"/>
      <c r="C27" s="56"/>
      <c r="D27" s="56"/>
      <c r="E27" s="56"/>
      <c r="F27" s="56"/>
      <c r="G27" s="56"/>
      <c r="H27" s="56"/>
      <c r="I27" s="56"/>
      <c r="J27" s="56"/>
      <c r="K27" s="56"/>
      <c r="L27" s="89"/>
    </row>
    <row r="28" spans="1:12" x14ac:dyDescent="0.25">
      <c r="A28" s="88"/>
      <c r="B28" s="56"/>
      <c r="C28" s="56"/>
      <c r="D28" s="56"/>
      <c r="E28" s="56"/>
      <c r="F28" s="56"/>
      <c r="G28" s="56"/>
      <c r="H28" s="56"/>
      <c r="I28" s="56"/>
      <c r="J28" s="56"/>
      <c r="K28" s="56"/>
      <c r="L28" s="89"/>
    </row>
    <row r="29" spans="1:12" x14ac:dyDescent="0.25">
      <c r="A29" s="88"/>
      <c r="B29" s="56"/>
      <c r="C29" s="56"/>
      <c r="D29" s="56"/>
      <c r="E29" s="56"/>
      <c r="F29" s="56"/>
      <c r="G29" s="56"/>
      <c r="H29" s="56"/>
      <c r="I29" s="56"/>
      <c r="J29" s="56"/>
      <c r="K29" s="56"/>
      <c r="L29" s="89"/>
    </row>
    <row r="30" spans="1:12" x14ac:dyDescent="0.25">
      <c r="A30" s="88"/>
      <c r="B30" s="56"/>
      <c r="C30" s="56"/>
      <c r="D30" s="56"/>
      <c r="E30" s="56"/>
      <c r="F30" s="56"/>
      <c r="G30" s="56"/>
      <c r="H30" s="56"/>
      <c r="I30" s="56"/>
      <c r="J30" s="56"/>
      <c r="K30" s="56"/>
      <c r="L30" s="89"/>
    </row>
    <row r="31" spans="1:12" x14ac:dyDescent="0.25">
      <c r="A31" s="88"/>
      <c r="B31" s="56"/>
      <c r="C31" s="56"/>
      <c r="D31" s="56"/>
      <c r="E31" s="56"/>
      <c r="F31" s="56"/>
      <c r="G31" s="56"/>
      <c r="H31" s="56"/>
      <c r="I31" s="56"/>
      <c r="J31" s="56"/>
      <c r="K31" s="56"/>
      <c r="L31" s="89"/>
    </row>
    <row r="32" spans="1:12" x14ac:dyDescent="0.25">
      <c r="A32" s="88"/>
      <c r="B32" s="56"/>
      <c r="C32" s="56"/>
      <c r="D32" s="56"/>
      <c r="E32" s="56"/>
      <c r="F32" s="56"/>
      <c r="G32" s="56"/>
      <c r="H32" s="56"/>
      <c r="I32" s="56"/>
      <c r="J32" s="56"/>
      <c r="K32" s="56"/>
      <c r="L32" s="89"/>
    </row>
    <row r="33" spans="1:12" x14ac:dyDescent="0.25">
      <c r="A33" s="88"/>
      <c r="B33" s="56"/>
      <c r="C33" s="56"/>
      <c r="D33" s="56"/>
      <c r="E33" s="56"/>
      <c r="F33" s="56"/>
      <c r="G33" s="56"/>
      <c r="H33" s="56"/>
      <c r="I33" s="56"/>
      <c r="J33" s="56"/>
      <c r="K33" s="56"/>
      <c r="L33" s="89"/>
    </row>
    <row r="34" spans="1:12" ht="15.75" thickBot="1" x14ac:dyDescent="0.3">
      <c r="A34" s="90"/>
      <c r="B34" s="91"/>
      <c r="C34" s="91"/>
      <c r="D34" s="91"/>
      <c r="E34" s="91"/>
      <c r="F34" s="91"/>
      <c r="G34" s="91"/>
      <c r="H34" s="91"/>
      <c r="I34" s="91"/>
      <c r="J34" s="91"/>
      <c r="K34" s="91"/>
      <c r="L34" s="92"/>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462F6-CF45-4D48-8B9C-886AEE7938D8}">
  <dimension ref="A1:M31"/>
  <sheetViews>
    <sheetView showGridLines="0" workbookViewId="0">
      <selection activeCell="Q13" sqref="Q13"/>
    </sheetView>
  </sheetViews>
  <sheetFormatPr defaultRowHeight="15" x14ac:dyDescent="0.25"/>
  <cols>
    <col min="1" max="1" width="13.140625" bestFit="1" customWidth="1"/>
    <col min="2" max="2" width="20.42578125" bestFit="1" customWidth="1"/>
    <col min="3" max="3" width="15.42578125" bestFit="1" customWidth="1"/>
    <col min="4" max="4" width="13.140625" bestFit="1" customWidth="1"/>
    <col min="5" max="5" width="20.42578125" bestFit="1" customWidth="1"/>
    <col min="6" max="6" width="15.42578125" bestFit="1" customWidth="1"/>
  </cols>
  <sheetData>
    <row r="1" spans="1:13" x14ac:dyDescent="0.25">
      <c r="A1" s="85"/>
      <c r="B1" s="86"/>
      <c r="C1" s="86"/>
      <c r="D1" s="85" t="s">
        <v>463</v>
      </c>
      <c r="E1" s="87" t="s">
        <v>482</v>
      </c>
      <c r="F1" s="86"/>
      <c r="G1" s="86"/>
      <c r="H1" s="86"/>
      <c r="I1" s="86"/>
      <c r="J1" s="86"/>
      <c r="K1" s="86"/>
      <c r="L1" s="86"/>
      <c r="M1" s="87"/>
    </row>
    <row r="2" spans="1:13" x14ac:dyDescent="0.25">
      <c r="A2" s="88"/>
      <c r="B2" s="56"/>
      <c r="C2" s="56"/>
      <c r="D2" s="95" t="s">
        <v>32</v>
      </c>
      <c r="E2" s="96">
        <v>87</v>
      </c>
      <c r="F2" s="56"/>
      <c r="G2" s="56"/>
      <c r="H2" s="56"/>
      <c r="I2" s="56"/>
      <c r="J2" s="56"/>
      <c r="K2" s="56"/>
      <c r="L2" s="56"/>
      <c r="M2" s="89"/>
    </row>
    <row r="3" spans="1:13" x14ac:dyDescent="0.25">
      <c r="A3" s="88"/>
      <c r="B3" s="56"/>
      <c r="C3" s="56"/>
      <c r="D3" s="95" t="s">
        <v>45</v>
      </c>
      <c r="E3" s="96">
        <v>102</v>
      </c>
      <c r="F3" s="56"/>
      <c r="G3" s="56"/>
      <c r="H3" s="56"/>
      <c r="I3" s="56"/>
      <c r="J3" s="56"/>
      <c r="K3" s="56"/>
      <c r="L3" s="56"/>
      <c r="M3" s="89"/>
    </row>
    <row r="4" spans="1:13" x14ac:dyDescent="0.25">
      <c r="A4" s="88"/>
      <c r="B4" s="56"/>
      <c r="C4" s="56"/>
      <c r="D4" s="95" t="s">
        <v>115</v>
      </c>
      <c r="E4" s="96">
        <v>39</v>
      </c>
      <c r="F4" s="56"/>
      <c r="G4" s="56"/>
      <c r="H4" s="56"/>
      <c r="I4" s="56"/>
      <c r="J4" s="56"/>
      <c r="K4" s="56"/>
      <c r="L4" s="56"/>
      <c r="M4" s="89"/>
    </row>
    <row r="5" spans="1:13" x14ac:dyDescent="0.25">
      <c r="A5" s="88"/>
      <c r="B5" s="56"/>
      <c r="C5" s="56"/>
      <c r="D5" s="95" t="s">
        <v>106</v>
      </c>
      <c r="E5" s="96">
        <v>78</v>
      </c>
      <c r="F5" s="56"/>
      <c r="G5" s="56"/>
      <c r="H5" s="56"/>
      <c r="I5" s="56"/>
      <c r="J5" s="56"/>
      <c r="K5" s="56"/>
      <c r="L5" s="56"/>
      <c r="M5" s="89"/>
    </row>
    <row r="6" spans="1:13" x14ac:dyDescent="0.25">
      <c r="A6" s="88"/>
      <c r="B6" s="56"/>
      <c r="C6" s="56"/>
      <c r="D6" s="95" t="s">
        <v>53</v>
      </c>
      <c r="E6" s="96">
        <v>47</v>
      </c>
      <c r="F6" s="56"/>
      <c r="G6" s="56"/>
      <c r="H6" s="56"/>
      <c r="I6" s="56"/>
      <c r="J6" s="56"/>
      <c r="K6" s="56"/>
      <c r="L6" s="56"/>
      <c r="M6" s="89"/>
    </row>
    <row r="7" spans="1:13" x14ac:dyDescent="0.25">
      <c r="A7" s="88"/>
      <c r="B7" s="56"/>
      <c r="C7" s="56"/>
      <c r="D7" s="95" t="s">
        <v>118</v>
      </c>
      <c r="E7" s="96">
        <v>89</v>
      </c>
      <c r="F7" s="56"/>
      <c r="G7" s="56"/>
      <c r="H7" s="56"/>
      <c r="I7" s="56"/>
      <c r="J7" s="56"/>
      <c r="K7" s="56"/>
      <c r="L7" s="56"/>
      <c r="M7" s="89"/>
    </row>
    <row r="8" spans="1:13" x14ac:dyDescent="0.25">
      <c r="A8" s="88"/>
      <c r="B8" s="56"/>
      <c r="C8" s="56"/>
      <c r="D8" s="95" t="s">
        <v>62</v>
      </c>
      <c r="E8" s="96">
        <v>75</v>
      </c>
      <c r="F8" s="56"/>
      <c r="G8" s="56"/>
      <c r="H8" s="56"/>
      <c r="I8" s="56"/>
      <c r="J8" s="56"/>
      <c r="K8" s="56"/>
      <c r="L8" s="56"/>
      <c r="M8" s="89"/>
    </row>
    <row r="9" spans="1:13" x14ac:dyDescent="0.25">
      <c r="A9" s="88"/>
      <c r="B9" s="56"/>
      <c r="C9" s="56"/>
      <c r="D9" s="95" t="s">
        <v>18</v>
      </c>
      <c r="E9" s="96">
        <v>88</v>
      </c>
      <c r="F9" s="56"/>
      <c r="G9" s="56"/>
      <c r="H9" s="56"/>
      <c r="I9" s="56"/>
      <c r="J9" s="56"/>
      <c r="K9" s="56"/>
      <c r="L9" s="56"/>
      <c r="M9" s="89"/>
    </row>
    <row r="10" spans="1:13" x14ac:dyDescent="0.25">
      <c r="A10" s="88"/>
      <c r="B10" s="56"/>
      <c r="C10" s="56"/>
      <c r="D10" s="95" t="s">
        <v>127</v>
      </c>
      <c r="E10" s="96">
        <v>52</v>
      </c>
      <c r="F10" s="56"/>
      <c r="G10" s="56"/>
      <c r="H10" s="56"/>
      <c r="I10" s="56"/>
      <c r="J10" s="56"/>
      <c r="K10" s="56"/>
      <c r="L10" s="56"/>
      <c r="M10" s="89"/>
    </row>
    <row r="11" spans="1:13" x14ac:dyDescent="0.25">
      <c r="A11" s="88"/>
      <c r="B11" s="56"/>
      <c r="C11" s="56"/>
      <c r="D11" s="95" t="s">
        <v>81</v>
      </c>
      <c r="E11" s="96">
        <v>96</v>
      </c>
      <c r="F11" s="56"/>
      <c r="G11" s="56"/>
      <c r="H11" s="56"/>
      <c r="I11" s="56"/>
      <c r="J11" s="56"/>
      <c r="K11" s="56"/>
      <c r="L11" s="56"/>
      <c r="M11" s="89"/>
    </row>
    <row r="12" spans="1:13" ht="15.75" thickBot="1" x14ac:dyDescent="0.3">
      <c r="A12" s="88"/>
      <c r="B12" s="56"/>
      <c r="C12" s="56"/>
      <c r="D12" s="97" t="s">
        <v>464</v>
      </c>
      <c r="E12" s="98">
        <v>753</v>
      </c>
      <c r="F12" s="56"/>
      <c r="G12" s="56"/>
      <c r="H12" s="56"/>
      <c r="I12" s="56"/>
      <c r="J12" s="56"/>
      <c r="K12" s="56"/>
      <c r="L12" s="56"/>
      <c r="M12" s="89"/>
    </row>
    <row r="13" spans="1:13" x14ac:dyDescent="0.25">
      <c r="A13" s="88"/>
      <c r="B13" s="56"/>
      <c r="C13" s="56"/>
      <c r="D13" s="56"/>
      <c r="E13" s="56"/>
      <c r="F13" s="56"/>
      <c r="G13" s="56"/>
      <c r="H13" s="56"/>
      <c r="I13" s="56"/>
      <c r="J13" s="56"/>
      <c r="K13" s="56"/>
      <c r="L13" s="56"/>
      <c r="M13" s="89"/>
    </row>
    <row r="14" spans="1:13" x14ac:dyDescent="0.25">
      <c r="A14" s="88"/>
      <c r="B14" s="56"/>
      <c r="C14" s="56"/>
      <c r="D14" s="56"/>
      <c r="E14" s="56"/>
      <c r="F14" s="56"/>
      <c r="G14" s="56"/>
      <c r="H14" s="56"/>
      <c r="I14" s="56"/>
      <c r="J14" s="56"/>
      <c r="K14" s="56"/>
      <c r="L14" s="56"/>
      <c r="M14" s="89"/>
    </row>
    <row r="15" spans="1:13" x14ac:dyDescent="0.25">
      <c r="A15" s="88"/>
      <c r="B15" s="56"/>
      <c r="C15" s="56"/>
      <c r="D15" s="56"/>
      <c r="E15" s="56"/>
      <c r="F15" s="56"/>
      <c r="G15" s="56"/>
      <c r="H15" s="56"/>
      <c r="I15" s="56"/>
      <c r="J15" s="56"/>
      <c r="K15" s="56"/>
      <c r="L15" s="56"/>
      <c r="M15" s="89"/>
    </row>
    <row r="16" spans="1:13" x14ac:dyDescent="0.25">
      <c r="A16" s="88"/>
      <c r="B16" s="56"/>
      <c r="C16" s="56"/>
      <c r="D16" s="56"/>
      <c r="E16" s="56"/>
      <c r="F16" s="56"/>
      <c r="G16" s="56"/>
      <c r="H16" s="56"/>
      <c r="I16" s="56"/>
      <c r="J16" s="56"/>
      <c r="K16" s="56"/>
      <c r="L16" s="56"/>
      <c r="M16" s="89"/>
    </row>
    <row r="17" spans="1:13" x14ac:dyDescent="0.25">
      <c r="A17" s="88"/>
      <c r="B17" s="56"/>
      <c r="C17" s="56"/>
      <c r="D17" s="56"/>
      <c r="E17" s="56"/>
      <c r="F17" s="56"/>
      <c r="G17" s="56"/>
      <c r="H17" s="56"/>
      <c r="I17" s="56"/>
      <c r="J17" s="56"/>
      <c r="K17" s="56"/>
      <c r="L17" s="56"/>
      <c r="M17" s="89"/>
    </row>
    <row r="18" spans="1:13" x14ac:dyDescent="0.25">
      <c r="A18" s="88"/>
      <c r="B18" s="56"/>
      <c r="C18" s="56"/>
      <c r="D18" s="56"/>
      <c r="E18" s="56"/>
      <c r="F18" s="56"/>
      <c r="G18" s="56"/>
      <c r="H18" s="56"/>
      <c r="I18" s="56"/>
      <c r="J18" s="56"/>
      <c r="K18" s="56"/>
      <c r="L18" s="56"/>
      <c r="M18" s="89"/>
    </row>
    <row r="19" spans="1:13" x14ac:dyDescent="0.25">
      <c r="A19" s="88"/>
      <c r="B19" s="56"/>
      <c r="C19" s="56"/>
      <c r="D19" s="56"/>
      <c r="E19" s="56"/>
      <c r="F19" s="56"/>
      <c r="G19" s="56"/>
      <c r="H19" s="56"/>
      <c r="I19" s="56"/>
      <c r="J19" s="56"/>
      <c r="K19" s="56"/>
      <c r="L19" s="56"/>
      <c r="M19" s="89"/>
    </row>
    <row r="20" spans="1:13" x14ac:dyDescent="0.25">
      <c r="A20" s="88"/>
      <c r="B20" s="56"/>
      <c r="C20" s="56"/>
      <c r="D20" s="56"/>
      <c r="E20" s="56"/>
      <c r="F20" s="56"/>
      <c r="G20" s="56"/>
      <c r="H20" s="56"/>
      <c r="I20" s="56"/>
      <c r="J20" s="56"/>
      <c r="K20" s="56"/>
      <c r="L20" s="56"/>
      <c r="M20" s="89"/>
    </row>
    <row r="21" spans="1:13" x14ac:dyDescent="0.25">
      <c r="A21" s="88"/>
      <c r="B21" s="56"/>
      <c r="C21" s="56"/>
      <c r="D21" s="56"/>
      <c r="E21" s="56"/>
      <c r="F21" s="56"/>
      <c r="G21" s="56"/>
      <c r="H21" s="56"/>
      <c r="I21" s="56"/>
      <c r="J21" s="56"/>
      <c r="K21" s="56"/>
      <c r="L21" s="56"/>
      <c r="M21" s="89"/>
    </row>
    <row r="22" spans="1:13" x14ac:dyDescent="0.25">
      <c r="A22" s="88"/>
      <c r="B22" s="56"/>
      <c r="C22" s="56"/>
      <c r="D22" s="56"/>
      <c r="E22" s="56"/>
      <c r="F22" s="56"/>
      <c r="G22" s="56"/>
      <c r="H22" s="56"/>
      <c r="I22" s="56"/>
      <c r="J22" s="56"/>
      <c r="K22" s="56"/>
      <c r="L22" s="56"/>
      <c r="M22" s="89"/>
    </row>
    <row r="23" spans="1:13" x14ac:dyDescent="0.25">
      <c r="A23" s="88"/>
      <c r="B23" s="56"/>
      <c r="C23" s="56"/>
      <c r="D23" s="56"/>
      <c r="E23" s="56"/>
      <c r="F23" s="56"/>
      <c r="G23" s="56"/>
      <c r="H23" s="56"/>
      <c r="I23" s="56"/>
      <c r="J23" s="56"/>
      <c r="K23" s="56"/>
      <c r="L23" s="56"/>
      <c r="M23" s="89"/>
    </row>
    <row r="24" spans="1:13" x14ac:dyDescent="0.25">
      <c r="A24" s="88"/>
      <c r="B24" s="56"/>
      <c r="C24" s="56"/>
      <c r="D24" s="56"/>
      <c r="E24" s="56"/>
      <c r="F24" s="56"/>
      <c r="G24" s="56"/>
      <c r="H24" s="56"/>
      <c r="I24" s="56"/>
      <c r="J24" s="56"/>
      <c r="K24" s="56"/>
      <c r="L24" s="56"/>
      <c r="M24" s="89"/>
    </row>
    <row r="25" spans="1:13" x14ac:dyDescent="0.25">
      <c r="A25" s="88"/>
      <c r="B25" s="56"/>
      <c r="C25" s="56"/>
      <c r="D25" s="56"/>
      <c r="E25" s="56"/>
      <c r="F25" s="56"/>
      <c r="G25" s="56"/>
      <c r="H25" s="56"/>
      <c r="I25" s="56"/>
      <c r="J25" s="56"/>
      <c r="K25" s="56"/>
      <c r="L25" s="56"/>
      <c r="M25" s="89"/>
    </row>
    <row r="26" spans="1:13" x14ac:dyDescent="0.25">
      <c r="A26" s="88"/>
      <c r="B26" s="56"/>
      <c r="C26" s="56"/>
      <c r="D26" s="56"/>
      <c r="E26" s="56"/>
      <c r="F26" s="56"/>
      <c r="G26" s="56"/>
      <c r="H26" s="56"/>
      <c r="I26" s="56"/>
      <c r="J26" s="56"/>
      <c r="K26" s="56"/>
      <c r="L26" s="56"/>
      <c r="M26" s="89"/>
    </row>
    <row r="27" spans="1:13" x14ac:dyDescent="0.25">
      <c r="A27" s="88"/>
      <c r="B27" s="56"/>
      <c r="C27" s="56"/>
      <c r="D27" s="56"/>
      <c r="E27" s="56"/>
      <c r="F27" s="56"/>
      <c r="G27" s="56"/>
      <c r="H27" s="56"/>
      <c r="I27" s="56"/>
      <c r="J27" s="56"/>
      <c r="K27" s="56"/>
      <c r="L27" s="56"/>
      <c r="M27" s="89"/>
    </row>
    <row r="28" spans="1:13" x14ac:dyDescent="0.25">
      <c r="A28" s="88"/>
      <c r="B28" s="56"/>
      <c r="C28" s="56"/>
      <c r="D28" s="56"/>
      <c r="E28" s="56"/>
      <c r="F28" s="56"/>
      <c r="G28" s="56"/>
      <c r="H28" s="56"/>
      <c r="I28" s="56"/>
      <c r="J28" s="56"/>
      <c r="K28" s="56"/>
      <c r="L28" s="56"/>
      <c r="M28" s="89"/>
    </row>
    <row r="29" spans="1:13" x14ac:dyDescent="0.25">
      <c r="A29" s="88"/>
      <c r="B29" s="56"/>
      <c r="C29" s="56"/>
      <c r="D29" s="56"/>
      <c r="E29" s="56"/>
      <c r="F29" s="56"/>
      <c r="G29" s="56"/>
      <c r="H29" s="56"/>
      <c r="I29" s="56"/>
      <c r="J29" s="56"/>
      <c r="K29" s="56"/>
      <c r="L29" s="56"/>
      <c r="M29" s="89"/>
    </row>
    <row r="30" spans="1:13" x14ac:dyDescent="0.25">
      <c r="A30" s="88"/>
      <c r="B30" s="56"/>
      <c r="C30" s="56"/>
      <c r="D30" s="56"/>
      <c r="E30" s="56"/>
      <c r="F30" s="56"/>
      <c r="G30" s="56"/>
      <c r="H30" s="56"/>
      <c r="I30" s="56"/>
      <c r="J30" s="56"/>
      <c r="K30" s="56"/>
      <c r="L30" s="56"/>
      <c r="M30" s="89"/>
    </row>
    <row r="31" spans="1:13" ht="15.75" thickBot="1" x14ac:dyDescent="0.3">
      <c r="A31" s="90"/>
      <c r="B31" s="91"/>
      <c r="C31" s="91"/>
      <c r="D31" s="91"/>
      <c r="E31" s="91"/>
      <c r="F31" s="91"/>
      <c r="G31" s="91"/>
      <c r="H31" s="91"/>
      <c r="I31" s="91"/>
      <c r="J31" s="91"/>
      <c r="K31" s="91"/>
      <c r="L31" s="91"/>
      <c r="M31" s="9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7B91-F3C1-470E-BA0C-7EFBFB8BA6CA}">
  <dimension ref="A2:L22"/>
  <sheetViews>
    <sheetView topLeftCell="A4" zoomScaleNormal="100" workbookViewId="0">
      <selection activeCell="I12" sqref="I12"/>
    </sheetView>
  </sheetViews>
  <sheetFormatPr defaultRowHeight="15" x14ac:dyDescent="0.25"/>
  <cols>
    <col min="1" max="1" width="13.140625" bestFit="1" customWidth="1"/>
    <col min="2" max="2" width="20.42578125" bestFit="1" customWidth="1"/>
    <col min="4" max="4" width="11.28515625" bestFit="1" customWidth="1"/>
    <col min="5" max="5" width="16.85546875" bestFit="1" customWidth="1"/>
    <col min="6" max="7" width="20.42578125" bestFit="1" customWidth="1"/>
    <col min="8" max="8" width="16.28515625" bestFit="1" customWidth="1"/>
    <col min="9" max="9" width="20.42578125" bestFit="1" customWidth="1"/>
    <col min="10" max="10" width="16.28515625" bestFit="1" customWidth="1"/>
    <col min="11" max="11" width="11.5703125" bestFit="1" customWidth="1"/>
    <col min="12" max="12" width="13.28515625" bestFit="1" customWidth="1"/>
    <col min="13" max="13" width="13.140625" bestFit="1" customWidth="1"/>
    <col min="14" max="14" width="20.42578125" bestFit="1" customWidth="1"/>
    <col min="16" max="17" width="20.42578125" bestFit="1" customWidth="1"/>
    <col min="18" max="18" width="16.28515625" bestFit="1" customWidth="1"/>
    <col min="19" max="28" width="11.5703125" bestFit="1" customWidth="1"/>
    <col min="29" max="29" width="13.28515625" bestFit="1" customWidth="1"/>
  </cols>
  <sheetData>
    <row r="2" spans="1:12" x14ac:dyDescent="0.25">
      <c r="A2" t="s">
        <v>465</v>
      </c>
    </row>
    <row r="3" spans="1:12" x14ac:dyDescent="0.25">
      <c r="A3" s="18">
        <v>229192.47000000032</v>
      </c>
    </row>
    <row r="4" spans="1:12" x14ac:dyDescent="0.25">
      <c r="A4" t="s">
        <v>481</v>
      </c>
      <c r="E4" s="48" t="s">
        <v>463</v>
      </c>
      <c r="F4" t="s">
        <v>465</v>
      </c>
      <c r="I4" s="48" t="s">
        <v>465</v>
      </c>
      <c r="J4" s="48" t="s">
        <v>480</v>
      </c>
    </row>
    <row r="5" spans="1:12" x14ac:dyDescent="0.25">
      <c r="A5">
        <v>250</v>
      </c>
      <c r="E5" s="49" t="s">
        <v>33</v>
      </c>
      <c r="F5" s="50">
        <v>3.6383132482493849E-2</v>
      </c>
      <c r="I5" s="48" t="s">
        <v>463</v>
      </c>
      <c r="J5" s="14">
        <v>2024</v>
      </c>
      <c r="K5" s="14">
        <v>2025</v>
      </c>
      <c r="L5" s="14" t="s">
        <v>464</v>
      </c>
    </row>
    <row r="6" spans="1:12" x14ac:dyDescent="0.25">
      <c r="A6" t="s">
        <v>482</v>
      </c>
      <c r="E6" s="55" t="s">
        <v>32</v>
      </c>
      <c r="F6" s="50">
        <v>2.2771821430259021E-2</v>
      </c>
      <c r="I6" s="51" t="s">
        <v>469</v>
      </c>
      <c r="J6" s="18"/>
      <c r="K6" s="18">
        <v>25799.15</v>
      </c>
      <c r="L6" s="18">
        <v>25799.15</v>
      </c>
    </row>
    <row r="7" spans="1:12" x14ac:dyDescent="0.25">
      <c r="A7" s="14">
        <v>753</v>
      </c>
      <c r="E7" s="55" t="s">
        <v>115</v>
      </c>
      <c r="F7" s="50">
        <v>1.361131105223483E-2</v>
      </c>
      <c r="I7" s="51" t="s">
        <v>470</v>
      </c>
      <c r="J7" s="18"/>
      <c r="K7" s="18">
        <v>16069.379999999997</v>
      </c>
      <c r="L7" s="18">
        <v>16069.379999999997</v>
      </c>
    </row>
    <row r="8" spans="1:12" x14ac:dyDescent="0.25">
      <c r="A8" s="48" t="s">
        <v>463</v>
      </c>
      <c r="B8" t="s">
        <v>465</v>
      </c>
      <c r="E8" s="49" t="s">
        <v>19</v>
      </c>
      <c r="F8" s="50">
        <v>0.74939656612627814</v>
      </c>
      <c r="I8" s="51" t="s">
        <v>471</v>
      </c>
      <c r="J8" s="18"/>
      <c r="K8" s="18">
        <v>19899.379999999997</v>
      </c>
      <c r="L8" s="18">
        <v>19899.379999999997</v>
      </c>
    </row>
    <row r="9" spans="1:12" x14ac:dyDescent="0.25">
      <c r="A9" s="51">
        <v>2024</v>
      </c>
      <c r="B9" s="18">
        <v>160444.73000000013</v>
      </c>
      <c r="E9" s="55" t="s">
        <v>53</v>
      </c>
      <c r="F9" s="50">
        <v>3.0758122201833243E-2</v>
      </c>
      <c r="I9" s="51" t="s">
        <v>472</v>
      </c>
      <c r="J9" s="18">
        <v>20919.330000000002</v>
      </c>
      <c r="K9" s="18">
        <v>6979.829999999999</v>
      </c>
      <c r="L9" s="18">
        <v>27899.16</v>
      </c>
    </row>
    <row r="10" spans="1:12" x14ac:dyDescent="0.25">
      <c r="A10" s="51">
        <v>2025</v>
      </c>
      <c r="B10" s="18">
        <v>68747.74000000002</v>
      </c>
      <c r="E10" s="55" t="s">
        <v>118</v>
      </c>
      <c r="F10" s="50">
        <v>3.4944908966686374E-2</v>
      </c>
      <c r="I10" s="51" t="s">
        <v>473</v>
      </c>
      <c r="J10" s="18">
        <v>17039.349999999999</v>
      </c>
      <c r="K10" s="18"/>
      <c r="L10" s="18">
        <v>17039.349999999999</v>
      </c>
    </row>
    <row r="11" spans="1:12" x14ac:dyDescent="0.25">
      <c r="A11" s="51" t="s">
        <v>464</v>
      </c>
      <c r="B11" s="18">
        <v>229192.47000000015</v>
      </c>
      <c r="E11" s="55" t="s">
        <v>62</v>
      </c>
      <c r="F11" s="50">
        <v>0.29450902117333966</v>
      </c>
      <c r="I11" s="51" t="s">
        <v>474</v>
      </c>
      <c r="J11" s="18">
        <v>19299.45</v>
      </c>
      <c r="K11" s="18"/>
      <c r="L11" s="18">
        <v>19299.45</v>
      </c>
    </row>
    <row r="12" spans="1:12" x14ac:dyDescent="0.25">
      <c r="A12" s="48" t="s">
        <v>463</v>
      </c>
      <c r="B12" t="s">
        <v>465</v>
      </c>
      <c r="E12" s="55" t="s">
        <v>18</v>
      </c>
      <c r="F12" s="50">
        <v>9.5985352398357593E-2</v>
      </c>
      <c r="I12" s="51" t="s">
        <v>475</v>
      </c>
      <c r="J12" s="18">
        <v>18479.399999999994</v>
      </c>
      <c r="K12" s="18"/>
      <c r="L12" s="18">
        <v>18479.399999999994</v>
      </c>
    </row>
    <row r="13" spans="1:12" x14ac:dyDescent="0.25">
      <c r="A13" s="51">
        <v>2024</v>
      </c>
      <c r="B13" s="50"/>
      <c r="E13" s="55" t="s">
        <v>81</v>
      </c>
      <c r="F13" s="50">
        <v>0.29319916138606122</v>
      </c>
      <c r="I13" s="51" t="s">
        <v>476</v>
      </c>
      <c r="J13" s="18">
        <v>15759.429999999997</v>
      </c>
      <c r="K13" s="18"/>
      <c r="L13" s="18">
        <v>15759.429999999997</v>
      </c>
    </row>
    <row r="14" spans="1:12" x14ac:dyDescent="0.25">
      <c r="A14" s="51">
        <v>2025</v>
      </c>
      <c r="B14" s="53">
        <v>-0.57151761855936334</v>
      </c>
      <c r="E14" s="49" t="s">
        <v>46</v>
      </c>
      <c r="F14" s="50">
        <v>0.21422030139122808</v>
      </c>
      <c r="I14" s="51" t="s">
        <v>477</v>
      </c>
      <c r="J14" s="18">
        <v>12989.509999999997</v>
      </c>
      <c r="K14" s="18"/>
      <c r="L14" s="18">
        <v>12989.509999999997</v>
      </c>
    </row>
    <row r="15" spans="1:12" x14ac:dyDescent="0.25">
      <c r="A15" s="51" t="s">
        <v>464</v>
      </c>
      <c r="B15" s="50"/>
      <c r="E15" s="55" t="s">
        <v>45</v>
      </c>
      <c r="F15" s="50">
        <v>6.6751669459297669E-2</v>
      </c>
      <c r="I15" s="51" t="s">
        <v>466</v>
      </c>
      <c r="J15" s="18">
        <v>20609.52</v>
      </c>
      <c r="K15" s="18"/>
      <c r="L15" s="18">
        <v>20609.52</v>
      </c>
    </row>
    <row r="16" spans="1:12" ht="14.25" customHeight="1" x14ac:dyDescent="0.25">
      <c r="A16" s="48" t="s">
        <v>463</v>
      </c>
      <c r="B16" t="s">
        <v>465</v>
      </c>
      <c r="E16" s="55" t="s">
        <v>106</v>
      </c>
      <c r="F16" s="50">
        <v>0.10209419183797794</v>
      </c>
      <c r="I16" s="51" t="s">
        <v>467</v>
      </c>
      <c r="J16" s="18">
        <v>12309.439999999999</v>
      </c>
      <c r="K16" s="18"/>
      <c r="L16" s="18">
        <v>12309.439999999999</v>
      </c>
    </row>
    <row r="17" spans="1:12" x14ac:dyDescent="0.25">
      <c r="A17" s="49" t="s">
        <v>21</v>
      </c>
      <c r="B17" s="18">
        <v>41288.340000000018</v>
      </c>
      <c r="E17" s="55" t="s">
        <v>127</v>
      </c>
      <c r="F17" s="50">
        <v>4.5374440093952473E-2</v>
      </c>
      <c r="I17" s="51" t="s">
        <v>468</v>
      </c>
      <c r="J17" s="18">
        <v>23039.3</v>
      </c>
      <c r="K17" s="18"/>
      <c r="L17" s="18">
        <v>23039.3</v>
      </c>
    </row>
    <row r="18" spans="1:12" x14ac:dyDescent="0.25">
      <c r="A18" s="49" t="s">
        <v>63</v>
      </c>
      <c r="B18" s="18">
        <v>59288.389999999992</v>
      </c>
      <c r="E18" s="49" t="s">
        <v>464</v>
      </c>
      <c r="F18" s="50">
        <v>1</v>
      </c>
      <c r="I18" s="51" t="s">
        <v>464</v>
      </c>
      <c r="J18" s="18">
        <v>160444.72999999998</v>
      </c>
      <c r="K18" s="18">
        <v>68747.739999999991</v>
      </c>
      <c r="L18" s="18">
        <v>229192.46999999994</v>
      </c>
    </row>
    <row r="19" spans="1:12" x14ac:dyDescent="0.25">
      <c r="A19" s="49" t="s">
        <v>40</v>
      </c>
      <c r="B19" s="18">
        <v>50808.310000000012</v>
      </c>
    </row>
    <row r="20" spans="1:12" x14ac:dyDescent="0.25">
      <c r="A20" s="49" t="s">
        <v>35</v>
      </c>
      <c r="B20" s="18">
        <v>36398.750000000007</v>
      </c>
    </row>
    <row r="21" spans="1:12" x14ac:dyDescent="0.25">
      <c r="A21" s="49" t="s">
        <v>50</v>
      </c>
      <c r="B21" s="18">
        <v>41408.680000000015</v>
      </c>
    </row>
    <row r="22" spans="1:12" x14ac:dyDescent="0.25">
      <c r="A22" s="49" t="s">
        <v>464</v>
      </c>
      <c r="B22" s="18">
        <v>229192.47000000006</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D7100-3C67-4941-980D-A40BE8AC508E}">
  <dimension ref="A1:T251"/>
  <sheetViews>
    <sheetView topLeftCell="C1" zoomScale="115" zoomScaleNormal="115" workbookViewId="0">
      <selection activeCell="D1" sqref="D1"/>
    </sheetView>
  </sheetViews>
  <sheetFormatPr defaultRowHeight="15" x14ac:dyDescent="0.25"/>
  <cols>
    <col min="1" max="1" width="19.140625" bestFit="1" customWidth="1"/>
    <col min="2" max="2" width="13.140625" bestFit="1" customWidth="1"/>
    <col min="3" max="3" width="16" bestFit="1" customWidth="1"/>
    <col min="4" max="4" width="20.28515625" bestFit="1" customWidth="1"/>
    <col min="5" max="5" width="14.42578125" bestFit="1" customWidth="1"/>
    <col min="6" max="6" width="18.7109375" bestFit="1" customWidth="1"/>
    <col min="7" max="7" width="12" bestFit="1" customWidth="1"/>
    <col min="8" max="8" width="11.42578125" bestFit="1" customWidth="1"/>
    <col min="9" max="9" width="13.5703125" bestFit="1" customWidth="1"/>
    <col min="10" max="10" width="21.7109375" bestFit="1" customWidth="1"/>
    <col min="11" max="11" width="9.7109375" bestFit="1" customWidth="1"/>
    <col min="12" max="12" width="24.28515625" bestFit="1" customWidth="1"/>
    <col min="13" max="13" width="20.5703125" customWidth="1"/>
    <col min="14" max="14" width="17.7109375" bestFit="1" customWidth="1"/>
  </cols>
  <sheetData>
    <row r="1" spans="1:20" ht="15.75" thickBot="1" x14ac:dyDescent="0.3">
      <c r="A1" s="2" t="s">
        <v>0</v>
      </c>
      <c r="B1" s="2" t="s">
        <v>1</v>
      </c>
      <c r="C1" s="2" t="s">
        <v>2</v>
      </c>
      <c r="D1" s="2" t="s">
        <v>3</v>
      </c>
      <c r="E1" s="2" t="s">
        <v>4</v>
      </c>
      <c r="F1" s="2" t="s">
        <v>5</v>
      </c>
      <c r="G1" s="2" t="s">
        <v>6</v>
      </c>
      <c r="H1" s="2" t="s">
        <v>7</v>
      </c>
      <c r="I1" s="2" t="s">
        <v>8</v>
      </c>
      <c r="J1" s="2" t="s">
        <v>9</v>
      </c>
      <c r="K1" s="2" t="s">
        <v>10</v>
      </c>
      <c r="L1" s="2" t="s">
        <v>11</v>
      </c>
      <c r="M1" s="2" t="s">
        <v>12</v>
      </c>
      <c r="N1" s="2" t="s">
        <v>13</v>
      </c>
      <c r="T1" t="e" cm="1">
        <f t="array" ref="T1">_xlfn._xlws.FILTER(#REF!,#REF!="Top 10%")</f>
        <v>#REF!</v>
      </c>
    </row>
    <row r="2" spans="1:20" ht="15.75" thickBot="1" x14ac:dyDescent="0.3">
      <c r="A2" s="1" t="s">
        <v>14</v>
      </c>
      <c r="B2" s="3">
        <v>45393</v>
      </c>
      <c r="C2" s="1" t="s">
        <v>15</v>
      </c>
      <c r="D2" s="1" t="s">
        <v>16</v>
      </c>
      <c r="E2" s="1" t="s">
        <v>17</v>
      </c>
      <c r="F2" s="1" t="s">
        <v>18</v>
      </c>
      <c r="G2" s="1" t="s">
        <v>19</v>
      </c>
      <c r="H2" s="4">
        <v>3</v>
      </c>
      <c r="I2" s="4">
        <v>249.99</v>
      </c>
      <c r="J2" s="1" t="s">
        <v>20</v>
      </c>
      <c r="K2" s="1" t="s">
        <v>21</v>
      </c>
      <c r="L2" s="1" t="s">
        <v>22</v>
      </c>
      <c r="M2" s="3">
        <v>44425</v>
      </c>
      <c r="N2" s="4">
        <v>749.97</v>
      </c>
    </row>
    <row r="3" spans="1:20" ht="15.75" thickBot="1" x14ac:dyDescent="0.3">
      <c r="A3" s="1" t="s">
        <v>23</v>
      </c>
      <c r="B3" s="3">
        <v>45396</v>
      </c>
      <c r="C3" s="1" t="s">
        <v>24</v>
      </c>
      <c r="D3" s="1" t="s">
        <v>25</v>
      </c>
      <c r="E3" s="1" t="s">
        <v>17</v>
      </c>
      <c r="F3" s="1" t="s">
        <v>18</v>
      </c>
      <c r="G3" s="1" t="s">
        <v>19</v>
      </c>
      <c r="H3" s="4">
        <v>3</v>
      </c>
      <c r="I3" s="4">
        <v>249.99</v>
      </c>
      <c r="J3" s="1" t="s">
        <v>26</v>
      </c>
      <c r="K3" s="1" t="s">
        <v>21</v>
      </c>
      <c r="L3" s="1" t="s">
        <v>27</v>
      </c>
      <c r="M3" s="3">
        <v>44575</v>
      </c>
      <c r="N3" s="4">
        <v>749.97</v>
      </c>
    </row>
    <row r="4" spans="1:20" ht="15.75" thickBot="1" x14ac:dyDescent="0.3">
      <c r="A4" s="1" t="s">
        <v>28</v>
      </c>
      <c r="B4" s="3">
        <v>45399</v>
      </c>
      <c r="C4" s="1" t="s">
        <v>29</v>
      </c>
      <c r="D4" s="1" t="s">
        <v>30</v>
      </c>
      <c r="E4" s="1" t="s">
        <v>31</v>
      </c>
      <c r="F4" s="1" t="s">
        <v>32</v>
      </c>
      <c r="G4" s="1" t="s">
        <v>33</v>
      </c>
      <c r="H4" s="4">
        <v>3</v>
      </c>
      <c r="I4" s="4">
        <v>59.99</v>
      </c>
      <c r="J4" s="1" t="s">
        <v>34</v>
      </c>
      <c r="K4" s="1" t="s">
        <v>35</v>
      </c>
      <c r="L4" s="1" t="s">
        <v>36</v>
      </c>
      <c r="M4" s="3">
        <v>45262</v>
      </c>
      <c r="N4" s="4">
        <v>179.97</v>
      </c>
    </row>
    <row r="5" spans="1:20" ht="15.75" thickBot="1" x14ac:dyDescent="0.3">
      <c r="A5" s="1" t="s">
        <v>37</v>
      </c>
      <c r="B5" s="3">
        <v>45400</v>
      </c>
      <c r="C5" s="1" t="s">
        <v>38</v>
      </c>
      <c r="D5" s="1" t="s">
        <v>39</v>
      </c>
      <c r="E5" s="1" t="s">
        <v>31</v>
      </c>
      <c r="F5" s="1" t="s">
        <v>32</v>
      </c>
      <c r="G5" s="1" t="s">
        <v>33</v>
      </c>
      <c r="H5" s="4">
        <v>3</v>
      </c>
      <c r="I5" s="4">
        <v>59.99</v>
      </c>
      <c r="J5" s="1" t="s">
        <v>20</v>
      </c>
      <c r="K5" s="1" t="s">
        <v>40</v>
      </c>
      <c r="L5" s="1" t="s">
        <v>27</v>
      </c>
      <c r="M5" s="3">
        <v>45114</v>
      </c>
      <c r="N5" s="4">
        <v>179.97</v>
      </c>
    </row>
    <row r="6" spans="1:20" ht="15.75" thickBot="1" x14ac:dyDescent="0.3">
      <c r="A6" s="1" t="s">
        <v>41</v>
      </c>
      <c r="B6" s="3">
        <v>45400</v>
      </c>
      <c r="C6" s="1" t="s">
        <v>42</v>
      </c>
      <c r="D6" s="1" t="s">
        <v>43</v>
      </c>
      <c r="E6" s="1" t="s">
        <v>44</v>
      </c>
      <c r="F6" s="1" t="s">
        <v>45</v>
      </c>
      <c r="G6" s="1" t="s">
        <v>46</v>
      </c>
      <c r="H6" s="4">
        <v>5</v>
      </c>
      <c r="I6" s="4">
        <v>149.99</v>
      </c>
      <c r="J6" s="1" t="s">
        <v>26</v>
      </c>
      <c r="K6" s="1" t="s">
        <v>40</v>
      </c>
      <c r="L6" s="1" t="s">
        <v>27</v>
      </c>
      <c r="M6" s="3">
        <v>45295</v>
      </c>
      <c r="N6" s="4">
        <v>749.95</v>
      </c>
    </row>
    <row r="7" spans="1:20" ht="15.75" thickBot="1" x14ac:dyDescent="0.3">
      <c r="A7" s="1" t="s">
        <v>47</v>
      </c>
      <c r="B7" s="3">
        <v>45403</v>
      </c>
      <c r="C7" s="1" t="s">
        <v>48</v>
      </c>
      <c r="D7" s="1" t="s">
        <v>49</v>
      </c>
      <c r="E7" s="1" t="s">
        <v>31</v>
      </c>
      <c r="F7" s="1" t="s">
        <v>32</v>
      </c>
      <c r="G7" s="1" t="s">
        <v>33</v>
      </c>
      <c r="H7" s="4">
        <v>2</v>
      </c>
      <c r="I7" s="4">
        <v>59.99</v>
      </c>
      <c r="J7" s="1" t="s">
        <v>26</v>
      </c>
      <c r="K7" s="1" t="s">
        <v>50</v>
      </c>
      <c r="L7" s="1" t="s">
        <v>36</v>
      </c>
      <c r="M7" s="3">
        <v>44746</v>
      </c>
      <c r="N7" s="4">
        <v>119.98</v>
      </c>
    </row>
    <row r="8" spans="1:20" ht="15.75" thickBot="1" x14ac:dyDescent="0.3">
      <c r="A8" s="1" t="s">
        <v>51</v>
      </c>
      <c r="B8" s="3">
        <v>45403</v>
      </c>
      <c r="C8" s="1" t="s">
        <v>48</v>
      </c>
      <c r="D8" s="1" t="s">
        <v>49</v>
      </c>
      <c r="E8" s="1" t="s">
        <v>52</v>
      </c>
      <c r="F8" s="1" t="s">
        <v>53</v>
      </c>
      <c r="G8" s="1" t="s">
        <v>19</v>
      </c>
      <c r="H8" s="4">
        <v>5</v>
      </c>
      <c r="I8" s="4">
        <v>149.99</v>
      </c>
      <c r="J8" s="1" t="s">
        <v>26</v>
      </c>
      <c r="K8" s="1" t="s">
        <v>21</v>
      </c>
      <c r="L8" s="1" t="s">
        <v>36</v>
      </c>
      <c r="M8" s="3">
        <v>44418</v>
      </c>
      <c r="N8" s="4">
        <v>749.95</v>
      </c>
    </row>
    <row r="9" spans="1:20" ht="15.75" thickBot="1" x14ac:dyDescent="0.3">
      <c r="A9" s="1" t="s">
        <v>54</v>
      </c>
      <c r="B9" s="3">
        <v>45403</v>
      </c>
      <c r="C9" s="1" t="s">
        <v>55</v>
      </c>
      <c r="D9" s="1" t="s">
        <v>56</v>
      </c>
      <c r="E9" s="1" t="s">
        <v>31</v>
      </c>
      <c r="F9" s="1" t="s">
        <v>32</v>
      </c>
      <c r="G9" s="1" t="s">
        <v>33</v>
      </c>
      <c r="H9" s="4">
        <v>3</v>
      </c>
      <c r="I9" s="4">
        <v>59.99</v>
      </c>
      <c r="J9" s="1" t="s">
        <v>57</v>
      </c>
      <c r="K9" s="1" t="s">
        <v>35</v>
      </c>
      <c r="L9" s="1" t="s">
        <v>22</v>
      </c>
      <c r="M9" s="3">
        <v>45007</v>
      </c>
      <c r="N9" s="4">
        <v>179.97</v>
      </c>
    </row>
    <row r="10" spans="1:20" ht="15.75" thickBot="1" x14ac:dyDescent="0.3">
      <c r="A10" s="1" t="s">
        <v>58</v>
      </c>
      <c r="B10" s="3">
        <v>45405</v>
      </c>
      <c r="C10" s="1" t="s">
        <v>59</v>
      </c>
      <c r="D10" s="1" t="s">
        <v>60</v>
      </c>
      <c r="E10" s="1" t="s">
        <v>61</v>
      </c>
      <c r="F10" s="1" t="s">
        <v>62</v>
      </c>
      <c r="G10" s="1" t="s">
        <v>19</v>
      </c>
      <c r="H10" s="4">
        <v>3</v>
      </c>
      <c r="I10" s="4">
        <v>899.99</v>
      </c>
      <c r="J10" s="1" t="s">
        <v>34</v>
      </c>
      <c r="K10" s="1" t="s">
        <v>63</v>
      </c>
      <c r="L10" s="1" t="s">
        <v>36</v>
      </c>
      <c r="M10" s="3">
        <v>45299</v>
      </c>
      <c r="N10" s="4">
        <v>2699.97</v>
      </c>
    </row>
    <row r="11" spans="1:20" ht="15.75" thickBot="1" x14ac:dyDescent="0.3">
      <c r="A11" s="1" t="s">
        <v>64</v>
      </c>
      <c r="B11" s="3">
        <v>45408</v>
      </c>
      <c r="C11" s="1" t="s">
        <v>65</v>
      </c>
      <c r="D11" s="1" t="s">
        <v>66</v>
      </c>
      <c r="E11" s="1" t="s">
        <v>31</v>
      </c>
      <c r="F11" s="1" t="s">
        <v>32</v>
      </c>
      <c r="G11" s="1" t="s">
        <v>33</v>
      </c>
      <c r="H11" s="4">
        <v>3</v>
      </c>
      <c r="I11" s="4">
        <v>59.99</v>
      </c>
      <c r="J11" s="1" t="s">
        <v>20</v>
      </c>
      <c r="K11" s="1" t="s">
        <v>50</v>
      </c>
      <c r="L11" s="1" t="s">
        <v>27</v>
      </c>
      <c r="M11" s="3">
        <v>45207</v>
      </c>
      <c r="N11" s="4">
        <v>179.97</v>
      </c>
    </row>
    <row r="12" spans="1:20" ht="15.75" thickBot="1" x14ac:dyDescent="0.3">
      <c r="A12" s="1" t="s">
        <v>67</v>
      </c>
      <c r="B12" s="3">
        <v>45408</v>
      </c>
      <c r="C12" s="1" t="s">
        <v>68</v>
      </c>
      <c r="D12" s="1" t="s">
        <v>69</v>
      </c>
      <c r="E12" s="1" t="s">
        <v>44</v>
      </c>
      <c r="F12" s="1" t="s">
        <v>45</v>
      </c>
      <c r="G12" s="1" t="s">
        <v>46</v>
      </c>
      <c r="H12" s="4">
        <v>1</v>
      </c>
      <c r="I12" s="4">
        <v>149.99</v>
      </c>
      <c r="J12" s="1" t="s">
        <v>26</v>
      </c>
      <c r="K12" s="1" t="s">
        <v>50</v>
      </c>
      <c r="L12" s="1" t="s">
        <v>36</v>
      </c>
      <c r="M12" s="3">
        <v>45103</v>
      </c>
      <c r="N12" s="4">
        <v>149.99</v>
      </c>
    </row>
    <row r="13" spans="1:20" ht="15.75" thickBot="1" x14ac:dyDescent="0.3">
      <c r="A13" s="1" t="s">
        <v>70</v>
      </c>
      <c r="B13" s="3">
        <v>45408</v>
      </c>
      <c r="C13" s="1" t="s">
        <v>38</v>
      </c>
      <c r="D13" s="1" t="s">
        <v>39</v>
      </c>
      <c r="E13" s="1" t="s">
        <v>44</v>
      </c>
      <c r="F13" s="1" t="s">
        <v>45</v>
      </c>
      <c r="G13" s="1" t="s">
        <v>46</v>
      </c>
      <c r="H13" s="4">
        <v>5</v>
      </c>
      <c r="I13" s="4">
        <v>149.99</v>
      </c>
      <c r="J13" s="1" t="s">
        <v>57</v>
      </c>
      <c r="K13" s="1" t="s">
        <v>40</v>
      </c>
      <c r="L13" s="1" t="s">
        <v>22</v>
      </c>
      <c r="M13" s="3">
        <v>44830</v>
      </c>
      <c r="N13" s="4">
        <v>749.95</v>
      </c>
    </row>
    <row r="14" spans="1:20" ht="15.75" thickBot="1" x14ac:dyDescent="0.3">
      <c r="A14" s="1" t="s">
        <v>71</v>
      </c>
      <c r="B14" s="3">
        <v>45408</v>
      </c>
      <c r="C14" s="1" t="s">
        <v>72</v>
      </c>
      <c r="D14" s="1" t="s">
        <v>73</v>
      </c>
      <c r="E14" s="1" t="s">
        <v>44</v>
      </c>
      <c r="F14" s="1" t="s">
        <v>45</v>
      </c>
      <c r="G14" s="1" t="s">
        <v>46</v>
      </c>
      <c r="H14" s="4">
        <v>3</v>
      </c>
      <c r="I14" s="4">
        <v>149.99</v>
      </c>
      <c r="J14" s="1" t="s">
        <v>20</v>
      </c>
      <c r="K14" s="1" t="s">
        <v>40</v>
      </c>
      <c r="L14" s="1" t="s">
        <v>27</v>
      </c>
      <c r="M14" s="3">
        <v>44806</v>
      </c>
      <c r="N14" s="4">
        <v>449.97</v>
      </c>
    </row>
    <row r="15" spans="1:20" ht="15.75" thickBot="1" x14ac:dyDescent="0.3">
      <c r="A15" s="1" t="s">
        <v>74</v>
      </c>
      <c r="B15" s="3">
        <v>45409</v>
      </c>
      <c r="C15" s="1" t="s">
        <v>75</v>
      </c>
      <c r="D15" s="1" t="s">
        <v>76</v>
      </c>
      <c r="E15" s="1" t="s">
        <v>31</v>
      </c>
      <c r="F15" s="1" t="s">
        <v>32</v>
      </c>
      <c r="G15" s="1" t="s">
        <v>33</v>
      </c>
      <c r="H15" s="4">
        <v>3</v>
      </c>
      <c r="I15" s="4">
        <v>59.99</v>
      </c>
      <c r="J15" s="1" t="s">
        <v>26</v>
      </c>
      <c r="K15" s="1" t="s">
        <v>40</v>
      </c>
      <c r="L15" s="1" t="s">
        <v>36</v>
      </c>
      <c r="M15" s="3">
        <v>45351</v>
      </c>
      <c r="N15" s="4">
        <v>179.97</v>
      </c>
    </row>
    <row r="16" spans="1:20" ht="15.75" thickBot="1" x14ac:dyDescent="0.3">
      <c r="A16" s="1" t="s">
        <v>77</v>
      </c>
      <c r="B16" s="3">
        <v>45409</v>
      </c>
      <c r="C16" s="1" t="s">
        <v>78</v>
      </c>
      <c r="D16" s="1" t="s">
        <v>79</v>
      </c>
      <c r="E16" s="1" t="s">
        <v>80</v>
      </c>
      <c r="F16" s="1" t="s">
        <v>81</v>
      </c>
      <c r="G16" s="1" t="s">
        <v>19</v>
      </c>
      <c r="H16" s="4">
        <v>3</v>
      </c>
      <c r="I16" s="4">
        <v>699.99</v>
      </c>
      <c r="J16" s="1" t="s">
        <v>26</v>
      </c>
      <c r="K16" s="1" t="s">
        <v>50</v>
      </c>
      <c r="L16" s="1" t="s">
        <v>22</v>
      </c>
      <c r="M16" s="3">
        <v>44577</v>
      </c>
      <c r="N16" s="4">
        <v>2099.9699999999998</v>
      </c>
    </row>
    <row r="17" spans="1:14" ht="15.75" thickBot="1" x14ac:dyDescent="0.3">
      <c r="A17" s="1" t="s">
        <v>82</v>
      </c>
      <c r="B17" s="3">
        <v>45409</v>
      </c>
      <c r="C17" s="1" t="s">
        <v>83</v>
      </c>
      <c r="D17" s="1" t="s">
        <v>84</v>
      </c>
      <c r="E17" s="1" t="s">
        <v>61</v>
      </c>
      <c r="F17" s="1" t="s">
        <v>62</v>
      </c>
      <c r="G17" s="1" t="s">
        <v>19</v>
      </c>
      <c r="H17" s="4">
        <v>1</v>
      </c>
      <c r="I17" s="4">
        <v>899.99</v>
      </c>
      <c r="J17" s="1" t="s">
        <v>57</v>
      </c>
      <c r="K17" s="1" t="s">
        <v>40</v>
      </c>
      <c r="L17" s="1" t="s">
        <v>36</v>
      </c>
      <c r="M17" s="3">
        <v>44920</v>
      </c>
      <c r="N17" s="4">
        <v>899.99</v>
      </c>
    </row>
    <row r="18" spans="1:14" ht="15.75" thickBot="1" x14ac:dyDescent="0.3">
      <c r="A18" s="1" t="s">
        <v>85</v>
      </c>
      <c r="B18" s="3">
        <v>45410</v>
      </c>
      <c r="C18" s="1" t="s">
        <v>86</v>
      </c>
      <c r="D18" s="1" t="s">
        <v>87</v>
      </c>
      <c r="E18" s="1" t="s">
        <v>44</v>
      </c>
      <c r="F18" s="1" t="s">
        <v>45</v>
      </c>
      <c r="G18" s="1" t="s">
        <v>46</v>
      </c>
      <c r="H18" s="4">
        <v>4</v>
      </c>
      <c r="I18" s="4">
        <v>149.99</v>
      </c>
      <c r="J18" s="1" t="s">
        <v>57</v>
      </c>
      <c r="K18" s="1" t="s">
        <v>40</v>
      </c>
      <c r="L18" s="1" t="s">
        <v>27</v>
      </c>
      <c r="M18" s="3">
        <v>45374</v>
      </c>
      <c r="N18" s="4">
        <v>599.96</v>
      </c>
    </row>
    <row r="19" spans="1:14" ht="15.75" thickBot="1" x14ac:dyDescent="0.3">
      <c r="A19" s="1" t="s">
        <v>88</v>
      </c>
      <c r="B19" s="3">
        <v>45410</v>
      </c>
      <c r="C19" s="1" t="s">
        <v>89</v>
      </c>
      <c r="D19" s="1" t="s">
        <v>90</v>
      </c>
      <c r="E19" s="1" t="s">
        <v>80</v>
      </c>
      <c r="F19" s="1" t="s">
        <v>81</v>
      </c>
      <c r="G19" s="1" t="s">
        <v>19</v>
      </c>
      <c r="H19" s="4">
        <v>2</v>
      </c>
      <c r="I19" s="4">
        <v>699.99</v>
      </c>
      <c r="J19" s="1" t="s">
        <v>20</v>
      </c>
      <c r="K19" s="1" t="s">
        <v>40</v>
      </c>
      <c r="L19" s="1" t="s">
        <v>22</v>
      </c>
      <c r="M19" s="3">
        <v>44781</v>
      </c>
      <c r="N19" s="4">
        <v>1399.98</v>
      </c>
    </row>
    <row r="20" spans="1:14" ht="15.75" thickBot="1" x14ac:dyDescent="0.3">
      <c r="A20" s="1" t="s">
        <v>91</v>
      </c>
      <c r="B20" s="3">
        <v>45410</v>
      </c>
      <c r="C20" s="1" t="s">
        <v>86</v>
      </c>
      <c r="D20" s="1" t="s">
        <v>87</v>
      </c>
      <c r="E20" s="1" t="s">
        <v>61</v>
      </c>
      <c r="F20" s="1" t="s">
        <v>62</v>
      </c>
      <c r="G20" s="1" t="s">
        <v>19</v>
      </c>
      <c r="H20" s="4">
        <v>4</v>
      </c>
      <c r="I20" s="4">
        <v>899.99</v>
      </c>
      <c r="J20" s="1" t="s">
        <v>26</v>
      </c>
      <c r="K20" s="1" t="s">
        <v>50</v>
      </c>
      <c r="L20" s="1" t="s">
        <v>36</v>
      </c>
      <c r="M20" s="3">
        <v>45327</v>
      </c>
      <c r="N20" s="4">
        <v>3599.96</v>
      </c>
    </row>
    <row r="21" spans="1:14" ht="15.75" thickBot="1" x14ac:dyDescent="0.3">
      <c r="A21" s="1" t="s">
        <v>92</v>
      </c>
      <c r="B21" s="3">
        <v>45410</v>
      </c>
      <c r="C21" s="1" t="s">
        <v>93</v>
      </c>
      <c r="D21" s="1" t="s">
        <v>94</v>
      </c>
      <c r="E21" s="1" t="s">
        <v>17</v>
      </c>
      <c r="F21" s="1" t="s">
        <v>18</v>
      </c>
      <c r="G21" s="1" t="s">
        <v>19</v>
      </c>
      <c r="H21" s="4">
        <v>3</v>
      </c>
      <c r="I21" s="4">
        <v>249.99</v>
      </c>
      <c r="J21" s="1" t="s">
        <v>26</v>
      </c>
      <c r="K21" s="1" t="s">
        <v>40</v>
      </c>
      <c r="L21" s="1" t="s">
        <v>27</v>
      </c>
      <c r="M21" s="3">
        <v>45224</v>
      </c>
      <c r="N21" s="4">
        <v>749.97</v>
      </c>
    </row>
    <row r="22" spans="1:14" ht="15.75" thickBot="1" x14ac:dyDescent="0.3">
      <c r="A22" s="1" t="s">
        <v>95</v>
      </c>
      <c r="B22" s="3">
        <v>45412</v>
      </c>
      <c r="C22" s="1" t="s">
        <v>96</v>
      </c>
      <c r="D22" s="1" t="s">
        <v>97</v>
      </c>
      <c r="E22" s="1" t="s">
        <v>80</v>
      </c>
      <c r="F22" s="1" t="s">
        <v>81</v>
      </c>
      <c r="G22" s="1" t="s">
        <v>19</v>
      </c>
      <c r="H22" s="4">
        <v>5</v>
      </c>
      <c r="I22" s="4">
        <v>699.99</v>
      </c>
      <c r="J22" s="1" t="s">
        <v>20</v>
      </c>
      <c r="K22" s="1" t="s">
        <v>50</v>
      </c>
      <c r="L22" s="1" t="s">
        <v>22</v>
      </c>
      <c r="M22" s="3">
        <v>45167</v>
      </c>
      <c r="N22" s="4">
        <v>3499.95</v>
      </c>
    </row>
    <row r="23" spans="1:14" ht="15.75" thickBot="1" x14ac:dyDescent="0.3">
      <c r="A23" s="1" t="s">
        <v>98</v>
      </c>
      <c r="B23" s="3">
        <v>45413</v>
      </c>
      <c r="C23" s="1" t="s">
        <v>99</v>
      </c>
      <c r="D23" s="1" t="s">
        <v>100</v>
      </c>
      <c r="E23" s="1" t="s">
        <v>80</v>
      </c>
      <c r="F23" s="1" t="s">
        <v>81</v>
      </c>
      <c r="G23" s="1" t="s">
        <v>19</v>
      </c>
      <c r="H23" s="4">
        <v>4</v>
      </c>
      <c r="I23" s="4">
        <v>699.99</v>
      </c>
      <c r="J23" s="1" t="s">
        <v>20</v>
      </c>
      <c r="K23" s="1" t="s">
        <v>63</v>
      </c>
      <c r="L23" s="1" t="s">
        <v>36</v>
      </c>
      <c r="M23" s="3">
        <v>44409</v>
      </c>
      <c r="N23" s="4">
        <v>2799.96</v>
      </c>
    </row>
    <row r="24" spans="1:14" ht="15.75" thickBot="1" x14ac:dyDescent="0.3">
      <c r="A24" s="1" t="s">
        <v>101</v>
      </c>
      <c r="B24" s="3">
        <v>45415</v>
      </c>
      <c r="C24" s="1" t="s">
        <v>102</v>
      </c>
      <c r="D24" s="1" t="s">
        <v>103</v>
      </c>
      <c r="E24" s="1" t="s">
        <v>17</v>
      </c>
      <c r="F24" s="1" t="s">
        <v>18</v>
      </c>
      <c r="G24" s="1" t="s">
        <v>19</v>
      </c>
      <c r="H24" s="4">
        <v>4</v>
      </c>
      <c r="I24" s="4">
        <v>249.99</v>
      </c>
      <c r="J24" s="1" t="s">
        <v>34</v>
      </c>
      <c r="K24" s="1" t="s">
        <v>40</v>
      </c>
      <c r="L24" s="1" t="s">
        <v>36</v>
      </c>
      <c r="M24" s="3">
        <v>44468</v>
      </c>
      <c r="N24" s="4">
        <v>999.96</v>
      </c>
    </row>
    <row r="25" spans="1:14" ht="15.75" thickBot="1" x14ac:dyDescent="0.3">
      <c r="A25" s="1" t="s">
        <v>104</v>
      </c>
      <c r="B25" s="3">
        <v>45416</v>
      </c>
      <c r="C25" s="1" t="s">
        <v>86</v>
      </c>
      <c r="D25" s="1" t="s">
        <v>87</v>
      </c>
      <c r="E25" s="1" t="s">
        <v>105</v>
      </c>
      <c r="F25" s="1" t="s">
        <v>106</v>
      </c>
      <c r="G25" s="1" t="s">
        <v>46</v>
      </c>
      <c r="H25" s="4">
        <v>4</v>
      </c>
      <c r="I25" s="4">
        <v>299.99</v>
      </c>
      <c r="J25" s="1" t="s">
        <v>20</v>
      </c>
      <c r="K25" s="1" t="s">
        <v>50</v>
      </c>
      <c r="L25" s="1" t="s">
        <v>27</v>
      </c>
      <c r="M25" s="3">
        <v>44716</v>
      </c>
      <c r="N25" s="4">
        <v>1199.96</v>
      </c>
    </row>
    <row r="26" spans="1:14" ht="15.75" thickBot="1" x14ac:dyDescent="0.3">
      <c r="A26" s="1" t="s">
        <v>107</v>
      </c>
      <c r="B26" s="3">
        <v>45422</v>
      </c>
      <c r="C26" s="1" t="s">
        <v>108</v>
      </c>
      <c r="D26" s="1" t="s">
        <v>109</v>
      </c>
      <c r="E26" s="1" t="s">
        <v>17</v>
      </c>
      <c r="F26" s="1" t="s">
        <v>18</v>
      </c>
      <c r="G26" s="1" t="s">
        <v>19</v>
      </c>
      <c r="H26" s="4">
        <v>5</v>
      </c>
      <c r="I26" s="4">
        <v>249.99</v>
      </c>
      <c r="J26" s="1" t="s">
        <v>26</v>
      </c>
      <c r="K26" s="1" t="s">
        <v>50</v>
      </c>
      <c r="L26" s="1" t="s">
        <v>36</v>
      </c>
      <c r="M26" s="3">
        <v>44525</v>
      </c>
      <c r="N26" s="4">
        <v>1249.95</v>
      </c>
    </row>
    <row r="27" spans="1:14" ht="15.75" thickBot="1" x14ac:dyDescent="0.3">
      <c r="A27" s="1" t="s">
        <v>110</v>
      </c>
      <c r="B27" s="3">
        <v>45424</v>
      </c>
      <c r="C27" s="1" t="s">
        <v>68</v>
      </c>
      <c r="D27" s="1" t="s">
        <v>69</v>
      </c>
      <c r="E27" s="1" t="s">
        <v>105</v>
      </c>
      <c r="F27" s="1" t="s">
        <v>106</v>
      </c>
      <c r="G27" s="1" t="s">
        <v>46</v>
      </c>
      <c r="H27" s="4">
        <v>5</v>
      </c>
      <c r="I27" s="4">
        <v>299.99</v>
      </c>
      <c r="J27" s="1" t="s">
        <v>34</v>
      </c>
      <c r="K27" s="1" t="s">
        <v>63</v>
      </c>
      <c r="L27" s="1" t="s">
        <v>22</v>
      </c>
      <c r="M27" s="3">
        <v>45168</v>
      </c>
      <c r="N27" s="4">
        <v>1499.95</v>
      </c>
    </row>
    <row r="28" spans="1:14" ht="15.75" thickBot="1" x14ac:dyDescent="0.3">
      <c r="A28" s="1" t="s">
        <v>111</v>
      </c>
      <c r="B28" s="3">
        <v>45424</v>
      </c>
      <c r="C28" s="1" t="s">
        <v>112</v>
      </c>
      <c r="D28" s="1" t="s">
        <v>113</v>
      </c>
      <c r="E28" s="1" t="s">
        <v>114</v>
      </c>
      <c r="F28" s="1" t="s">
        <v>115</v>
      </c>
      <c r="G28" s="1" t="s">
        <v>33</v>
      </c>
      <c r="H28" s="4">
        <v>3</v>
      </c>
      <c r="I28" s="4">
        <v>79.989999999999995</v>
      </c>
      <c r="J28" s="1" t="s">
        <v>34</v>
      </c>
      <c r="K28" s="1" t="s">
        <v>63</v>
      </c>
      <c r="L28" s="1" t="s">
        <v>27</v>
      </c>
      <c r="M28" s="3">
        <v>45012</v>
      </c>
      <c r="N28" s="4">
        <v>239.97</v>
      </c>
    </row>
    <row r="29" spans="1:14" ht="15.75" thickBot="1" x14ac:dyDescent="0.3">
      <c r="A29" s="1" t="s">
        <v>116</v>
      </c>
      <c r="B29" s="3">
        <v>45424</v>
      </c>
      <c r="C29" s="1" t="s">
        <v>99</v>
      </c>
      <c r="D29" s="1" t="s">
        <v>100</v>
      </c>
      <c r="E29" s="1" t="s">
        <v>117</v>
      </c>
      <c r="F29" s="1" t="s">
        <v>118</v>
      </c>
      <c r="G29" s="1" t="s">
        <v>19</v>
      </c>
      <c r="H29" s="4">
        <v>5</v>
      </c>
      <c r="I29" s="4">
        <v>89.99</v>
      </c>
      <c r="J29" s="1" t="s">
        <v>20</v>
      </c>
      <c r="K29" s="1" t="s">
        <v>40</v>
      </c>
      <c r="L29" s="1" t="s">
        <v>27</v>
      </c>
      <c r="M29" s="3">
        <v>44919</v>
      </c>
      <c r="N29" s="4">
        <v>449.95</v>
      </c>
    </row>
    <row r="30" spans="1:14" ht="15.75" thickBot="1" x14ac:dyDescent="0.3">
      <c r="A30" s="1" t="s">
        <v>119</v>
      </c>
      <c r="B30" s="3">
        <v>45425</v>
      </c>
      <c r="C30" s="1" t="s">
        <v>120</v>
      </c>
      <c r="D30" s="1" t="s">
        <v>121</v>
      </c>
      <c r="E30" s="1" t="s">
        <v>31</v>
      </c>
      <c r="F30" s="1" t="s">
        <v>32</v>
      </c>
      <c r="G30" s="1" t="s">
        <v>33</v>
      </c>
      <c r="H30" s="4">
        <v>2</v>
      </c>
      <c r="I30" s="4">
        <v>59.99</v>
      </c>
      <c r="J30" s="1" t="s">
        <v>57</v>
      </c>
      <c r="K30" s="1" t="s">
        <v>21</v>
      </c>
      <c r="L30" s="1" t="s">
        <v>36</v>
      </c>
      <c r="M30" s="3">
        <v>45214</v>
      </c>
      <c r="N30" s="4">
        <v>119.98</v>
      </c>
    </row>
    <row r="31" spans="1:14" ht="15.75" thickBot="1" x14ac:dyDescent="0.3">
      <c r="A31" s="1" t="s">
        <v>122</v>
      </c>
      <c r="B31" s="3">
        <v>45427</v>
      </c>
      <c r="C31" s="1" t="s">
        <v>123</v>
      </c>
      <c r="D31" s="1" t="s">
        <v>124</v>
      </c>
      <c r="E31" s="1" t="s">
        <v>31</v>
      </c>
      <c r="F31" s="1" t="s">
        <v>32</v>
      </c>
      <c r="G31" s="1" t="s">
        <v>33</v>
      </c>
      <c r="H31" s="4">
        <v>4</v>
      </c>
      <c r="I31" s="4">
        <v>59.99</v>
      </c>
      <c r="J31" s="1" t="s">
        <v>57</v>
      </c>
      <c r="K31" s="1" t="s">
        <v>63</v>
      </c>
      <c r="L31" s="1" t="s">
        <v>36</v>
      </c>
      <c r="M31" s="3">
        <v>44867</v>
      </c>
      <c r="N31" s="4">
        <v>239.96</v>
      </c>
    </row>
    <row r="32" spans="1:14" ht="15.75" thickBot="1" x14ac:dyDescent="0.3">
      <c r="A32" s="1" t="s">
        <v>125</v>
      </c>
      <c r="B32" s="3">
        <v>45427</v>
      </c>
      <c r="C32" s="1" t="s">
        <v>55</v>
      </c>
      <c r="D32" s="1" t="s">
        <v>56</v>
      </c>
      <c r="E32" s="1" t="s">
        <v>126</v>
      </c>
      <c r="F32" s="1" t="s">
        <v>127</v>
      </c>
      <c r="G32" s="1" t="s">
        <v>46</v>
      </c>
      <c r="H32" s="4">
        <v>5</v>
      </c>
      <c r="I32" s="4">
        <v>199.99</v>
      </c>
      <c r="J32" s="1" t="s">
        <v>20</v>
      </c>
      <c r="K32" s="1" t="s">
        <v>35</v>
      </c>
      <c r="L32" s="1" t="s">
        <v>36</v>
      </c>
      <c r="M32" s="3">
        <v>44412</v>
      </c>
      <c r="N32" s="4">
        <v>999.95</v>
      </c>
    </row>
    <row r="33" spans="1:14" ht="15.75" thickBot="1" x14ac:dyDescent="0.3">
      <c r="A33" s="1" t="s">
        <v>128</v>
      </c>
      <c r="B33" s="3">
        <v>45428</v>
      </c>
      <c r="C33" s="1" t="s">
        <v>129</v>
      </c>
      <c r="D33" s="1" t="s">
        <v>130</v>
      </c>
      <c r="E33" s="1" t="s">
        <v>44</v>
      </c>
      <c r="F33" s="1" t="s">
        <v>45</v>
      </c>
      <c r="G33" s="1" t="s">
        <v>46</v>
      </c>
      <c r="H33" s="4">
        <v>2</v>
      </c>
      <c r="I33" s="4">
        <v>149.99</v>
      </c>
      <c r="J33" s="1" t="s">
        <v>26</v>
      </c>
      <c r="K33" s="1" t="s">
        <v>50</v>
      </c>
      <c r="L33" s="1" t="s">
        <v>22</v>
      </c>
      <c r="M33" s="3">
        <v>44823</v>
      </c>
      <c r="N33" s="4">
        <v>299.98</v>
      </c>
    </row>
    <row r="34" spans="1:14" ht="15.75" thickBot="1" x14ac:dyDescent="0.3">
      <c r="A34" s="1" t="s">
        <v>131</v>
      </c>
      <c r="B34" s="3">
        <v>45430</v>
      </c>
      <c r="C34" s="1" t="s">
        <v>132</v>
      </c>
      <c r="D34" s="1" t="s">
        <v>133</v>
      </c>
      <c r="E34" s="1" t="s">
        <v>44</v>
      </c>
      <c r="F34" s="1" t="s">
        <v>45</v>
      </c>
      <c r="G34" s="1" t="s">
        <v>46</v>
      </c>
      <c r="H34" s="4">
        <v>3</v>
      </c>
      <c r="I34" s="4">
        <v>149.99</v>
      </c>
      <c r="J34" s="1" t="s">
        <v>26</v>
      </c>
      <c r="K34" s="1" t="s">
        <v>50</v>
      </c>
      <c r="L34" s="1" t="s">
        <v>27</v>
      </c>
      <c r="M34" s="3">
        <v>45068</v>
      </c>
      <c r="N34" s="4">
        <v>449.97</v>
      </c>
    </row>
    <row r="35" spans="1:14" ht="15.75" thickBot="1" x14ac:dyDescent="0.3">
      <c r="A35" s="1" t="s">
        <v>134</v>
      </c>
      <c r="B35" s="3">
        <v>45432</v>
      </c>
      <c r="C35" s="1" t="s">
        <v>29</v>
      </c>
      <c r="D35" s="1" t="s">
        <v>30</v>
      </c>
      <c r="E35" s="1" t="s">
        <v>61</v>
      </c>
      <c r="F35" s="1" t="s">
        <v>62</v>
      </c>
      <c r="G35" s="1" t="s">
        <v>19</v>
      </c>
      <c r="H35" s="4">
        <v>1</v>
      </c>
      <c r="I35" s="4">
        <v>899.99</v>
      </c>
      <c r="J35" s="1" t="s">
        <v>26</v>
      </c>
      <c r="K35" s="1" t="s">
        <v>50</v>
      </c>
      <c r="L35" s="1" t="s">
        <v>27</v>
      </c>
      <c r="M35" s="3">
        <v>44578</v>
      </c>
      <c r="N35" s="4">
        <v>899.99</v>
      </c>
    </row>
    <row r="36" spans="1:14" ht="15.75" thickBot="1" x14ac:dyDescent="0.3">
      <c r="A36" s="1" t="s">
        <v>135</v>
      </c>
      <c r="B36" s="3">
        <v>45434</v>
      </c>
      <c r="C36" s="1" t="s">
        <v>99</v>
      </c>
      <c r="D36" s="1" t="s">
        <v>100</v>
      </c>
      <c r="E36" s="1" t="s">
        <v>105</v>
      </c>
      <c r="F36" s="1" t="s">
        <v>106</v>
      </c>
      <c r="G36" s="1" t="s">
        <v>46</v>
      </c>
      <c r="H36" s="4">
        <v>3</v>
      </c>
      <c r="I36" s="4">
        <v>299.99</v>
      </c>
      <c r="J36" s="1" t="s">
        <v>26</v>
      </c>
      <c r="K36" s="1" t="s">
        <v>63</v>
      </c>
      <c r="L36" s="1" t="s">
        <v>22</v>
      </c>
      <c r="M36" s="3">
        <v>44824</v>
      </c>
      <c r="N36" s="4">
        <v>899.97</v>
      </c>
    </row>
    <row r="37" spans="1:14" ht="15.75" thickBot="1" x14ac:dyDescent="0.3">
      <c r="A37" s="1" t="s">
        <v>136</v>
      </c>
      <c r="B37" s="3">
        <v>45435</v>
      </c>
      <c r="C37" s="1" t="s">
        <v>129</v>
      </c>
      <c r="D37" s="1" t="s">
        <v>130</v>
      </c>
      <c r="E37" s="1" t="s">
        <v>114</v>
      </c>
      <c r="F37" s="1" t="s">
        <v>115</v>
      </c>
      <c r="G37" s="1" t="s">
        <v>33</v>
      </c>
      <c r="H37" s="4">
        <v>3</v>
      </c>
      <c r="I37" s="4">
        <v>79.989999999999995</v>
      </c>
      <c r="J37" s="1" t="s">
        <v>20</v>
      </c>
      <c r="K37" s="1" t="s">
        <v>35</v>
      </c>
      <c r="L37" s="1" t="s">
        <v>22</v>
      </c>
      <c r="M37" s="3">
        <v>45046</v>
      </c>
      <c r="N37" s="4">
        <v>239.97</v>
      </c>
    </row>
    <row r="38" spans="1:14" ht="15.75" thickBot="1" x14ac:dyDescent="0.3">
      <c r="A38" s="1" t="s">
        <v>137</v>
      </c>
      <c r="B38" s="3">
        <v>45438</v>
      </c>
      <c r="C38" s="1" t="s">
        <v>138</v>
      </c>
      <c r="D38" s="1" t="s">
        <v>139</v>
      </c>
      <c r="E38" s="1" t="s">
        <v>126</v>
      </c>
      <c r="F38" s="1" t="s">
        <v>127</v>
      </c>
      <c r="G38" s="1" t="s">
        <v>46</v>
      </c>
      <c r="H38" s="4">
        <v>3</v>
      </c>
      <c r="I38" s="4">
        <v>199.99</v>
      </c>
      <c r="J38" s="1" t="s">
        <v>26</v>
      </c>
      <c r="K38" s="1" t="s">
        <v>40</v>
      </c>
      <c r="L38" s="1" t="s">
        <v>27</v>
      </c>
      <c r="M38" s="3">
        <v>45292</v>
      </c>
      <c r="N38" s="4">
        <v>599.97</v>
      </c>
    </row>
    <row r="39" spans="1:14" ht="15.75" thickBot="1" x14ac:dyDescent="0.3">
      <c r="A39" s="1" t="s">
        <v>140</v>
      </c>
      <c r="B39" s="3">
        <v>45440</v>
      </c>
      <c r="C39" s="1" t="s">
        <v>141</v>
      </c>
      <c r="D39" s="1" t="s">
        <v>142</v>
      </c>
      <c r="E39" s="1" t="s">
        <v>80</v>
      </c>
      <c r="F39" s="1" t="s">
        <v>81</v>
      </c>
      <c r="G39" s="1" t="s">
        <v>19</v>
      </c>
      <c r="H39" s="4">
        <v>5</v>
      </c>
      <c r="I39" s="4">
        <v>699.99</v>
      </c>
      <c r="J39" s="1" t="s">
        <v>34</v>
      </c>
      <c r="K39" s="1" t="s">
        <v>50</v>
      </c>
      <c r="L39" s="1" t="s">
        <v>36</v>
      </c>
      <c r="M39" s="3">
        <v>44407</v>
      </c>
      <c r="N39" s="4">
        <v>3499.95</v>
      </c>
    </row>
    <row r="40" spans="1:14" ht="15.75" thickBot="1" x14ac:dyDescent="0.3">
      <c r="A40" s="1" t="s">
        <v>143</v>
      </c>
      <c r="B40" s="3">
        <v>45441</v>
      </c>
      <c r="C40" s="1" t="s">
        <v>144</v>
      </c>
      <c r="D40" s="1" t="s">
        <v>145</v>
      </c>
      <c r="E40" s="1" t="s">
        <v>117</v>
      </c>
      <c r="F40" s="1" t="s">
        <v>118</v>
      </c>
      <c r="G40" s="1" t="s">
        <v>19</v>
      </c>
      <c r="H40" s="4">
        <v>3</v>
      </c>
      <c r="I40" s="4">
        <v>89.99</v>
      </c>
      <c r="J40" s="1" t="s">
        <v>34</v>
      </c>
      <c r="K40" s="1" t="s">
        <v>21</v>
      </c>
      <c r="L40" s="1" t="s">
        <v>27</v>
      </c>
      <c r="M40" s="3">
        <v>45120</v>
      </c>
      <c r="N40" s="4">
        <v>269.97000000000003</v>
      </c>
    </row>
    <row r="41" spans="1:14" ht="15.75" thickBot="1" x14ac:dyDescent="0.3">
      <c r="A41" s="1" t="s">
        <v>146</v>
      </c>
      <c r="B41" s="3">
        <v>45443</v>
      </c>
      <c r="C41" s="1" t="s">
        <v>147</v>
      </c>
      <c r="D41" s="1" t="s">
        <v>148</v>
      </c>
      <c r="E41" s="1" t="s">
        <v>114</v>
      </c>
      <c r="F41" s="1" t="s">
        <v>115</v>
      </c>
      <c r="G41" s="1" t="s">
        <v>33</v>
      </c>
      <c r="H41" s="4">
        <v>1</v>
      </c>
      <c r="I41" s="4">
        <v>79.989999999999995</v>
      </c>
      <c r="J41" s="1" t="s">
        <v>20</v>
      </c>
      <c r="K41" s="1" t="s">
        <v>40</v>
      </c>
      <c r="L41" s="1" t="s">
        <v>36</v>
      </c>
      <c r="M41" s="3">
        <v>44917</v>
      </c>
      <c r="N41" s="4">
        <v>79.989999999999995</v>
      </c>
    </row>
    <row r="42" spans="1:14" ht="15.75" thickBot="1" x14ac:dyDescent="0.3">
      <c r="A42" s="1" t="s">
        <v>149</v>
      </c>
      <c r="B42" s="3">
        <v>45444</v>
      </c>
      <c r="C42" s="1" t="s">
        <v>150</v>
      </c>
      <c r="D42" s="1" t="s">
        <v>151</v>
      </c>
      <c r="E42" s="1" t="s">
        <v>31</v>
      </c>
      <c r="F42" s="1" t="s">
        <v>32</v>
      </c>
      <c r="G42" s="1" t="s">
        <v>33</v>
      </c>
      <c r="H42" s="4">
        <v>2</v>
      </c>
      <c r="I42" s="4">
        <v>59.99</v>
      </c>
      <c r="J42" s="1" t="s">
        <v>20</v>
      </c>
      <c r="K42" s="1" t="s">
        <v>50</v>
      </c>
      <c r="L42" s="1" t="s">
        <v>22</v>
      </c>
      <c r="M42" s="3">
        <v>45390</v>
      </c>
      <c r="N42" s="4">
        <v>119.98</v>
      </c>
    </row>
    <row r="43" spans="1:14" ht="15.75" thickBot="1" x14ac:dyDescent="0.3">
      <c r="A43" s="1" t="s">
        <v>152</v>
      </c>
      <c r="B43" s="3">
        <v>45444</v>
      </c>
      <c r="C43" s="1" t="s">
        <v>55</v>
      </c>
      <c r="D43" s="1" t="s">
        <v>56</v>
      </c>
      <c r="E43" s="1" t="s">
        <v>117</v>
      </c>
      <c r="F43" s="1" t="s">
        <v>118</v>
      </c>
      <c r="G43" s="1" t="s">
        <v>19</v>
      </c>
      <c r="H43" s="4">
        <v>1</v>
      </c>
      <c r="I43" s="4">
        <v>89.99</v>
      </c>
      <c r="J43" s="1" t="s">
        <v>20</v>
      </c>
      <c r="K43" s="1" t="s">
        <v>40</v>
      </c>
      <c r="L43" s="1" t="s">
        <v>22</v>
      </c>
      <c r="M43" s="3">
        <v>45141</v>
      </c>
      <c r="N43" s="4">
        <v>89.99</v>
      </c>
    </row>
    <row r="44" spans="1:14" ht="15.75" thickBot="1" x14ac:dyDescent="0.3">
      <c r="A44" s="1" t="s">
        <v>153</v>
      </c>
      <c r="B44" s="3">
        <v>45446</v>
      </c>
      <c r="C44" s="1" t="s">
        <v>154</v>
      </c>
      <c r="D44" s="1" t="s">
        <v>155</v>
      </c>
      <c r="E44" s="1" t="s">
        <v>117</v>
      </c>
      <c r="F44" s="1" t="s">
        <v>118</v>
      </c>
      <c r="G44" s="1" t="s">
        <v>19</v>
      </c>
      <c r="H44" s="4">
        <v>5</v>
      </c>
      <c r="I44" s="4">
        <v>89.99</v>
      </c>
      <c r="J44" s="1" t="s">
        <v>26</v>
      </c>
      <c r="K44" s="1" t="s">
        <v>63</v>
      </c>
      <c r="L44" s="1" t="s">
        <v>36</v>
      </c>
      <c r="M44" s="3">
        <v>44587</v>
      </c>
      <c r="N44" s="4">
        <v>449.95</v>
      </c>
    </row>
    <row r="45" spans="1:14" ht="15.75" thickBot="1" x14ac:dyDescent="0.3">
      <c r="A45" s="1" t="s">
        <v>156</v>
      </c>
      <c r="B45" s="3">
        <v>45449</v>
      </c>
      <c r="C45" s="1" t="s">
        <v>24</v>
      </c>
      <c r="D45" s="1" t="s">
        <v>25</v>
      </c>
      <c r="E45" s="1" t="s">
        <v>17</v>
      </c>
      <c r="F45" s="1" t="s">
        <v>18</v>
      </c>
      <c r="G45" s="1" t="s">
        <v>19</v>
      </c>
      <c r="H45" s="4">
        <v>5</v>
      </c>
      <c r="I45" s="4">
        <v>249.99</v>
      </c>
      <c r="J45" s="1" t="s">
        <v>26</v>
      </c>
      <c r="K45" s="1" t="s">
        <v>63</v>
      </c>
      <c r="L45" s="1" t="s">
        <v>36</v>
      </c>
      <c r="M45" s="3">
        <v>44707</v>
      </c>
      <c r="N45" s="4">
        <v>1249.95</v>
      </c>
    </row>
    <row r="46" spans="1:14" ht="15.75" thickBot="1" x14ac:dyDescent="0.3">
      <c r="A46" s="1" t="s">
        <v>157</v>
      </c>
      <c r="B46" s="3">
        <v>45449</v>
      </c>
      <c r="C46" s="1" t="s">
        <v>158</v>
      </c>
      <c r="D46" s="1" t="s">
        <v>159</v>
      </c>
      <c r="E46" s="1" t="s">
        <v>117</v>
      </c>
      <c r="F46" s="1" t="s">
        <v>118</v>
      </c>
      <c r="G46" s="1" t="s">
        <v>19</v>
      </c>
      <c r="H46" s="4">
        <v>1</v>
      </c>
      <c r="I46" s="4">
        <v>89.99</v>
      </c>
      <c r="J46" s="1" t="s">
        <v>26</v>
      </c>
      <c r="K46" s="1" t="s">
        <v>35</v>
      </c>
      <c r="L46" s="1" t="s">
        <v>36</v>
      </c>
      <c r="M46" s="3">
        <v>44582</v>
      </c>
      <c r="N46" s="4">
        <v>89.99</v>
      </c>
    </row>
    <row r="47" spans="1:14" ht="15.75" thickBot="1" x14ac:dyDescent="0.3">
      <c r="A47" s="1" t="s">
        <v>160</v>
      </c>
      <c r="B47" s="3">
        <v>45450</v>
      </c>
      <c r="C47" s="1" t="s">
        <v>42</v>
      </c>
      <c r="D47" s="1" t="s">
        <v>43</v>
      </c>
      <c r="E47" s="1" t="s">
        <v>44</v>
      </c>
      <c r="F47" s="1" t="s">
        <v>45</v>
      </c>
      <c r="G47" s="1" t="s">
        <v>46</v>
      </c>
      <c r="H47" s="4">
        <v>2</v>
      </c>
      <c r="I47" s="4">
        <v>149.99</v>
      </c>
      <c r="J47" s="1" t="s">
        <v>20</v>
      </c>
      <c r="K47" s="1" t="s">
        <v>63</v>
      </c>
      <c r="L47" s="1" t="s">
        <v>27</v>
      </c>
      <c r="M47" s="3">
        <v>44645</v>
      </c>
      <c r="N47" s="4">
        <v>299.98</v>
      </c>
    </row>
    <row r="48" spans="1:14" ht="15.75" thickBot="1" x14ac:dyDescent="0.3">
      <c r="A48" s="1" t="s">
        <v>161</v>
      </c>
      <c r="B48" s="3">
        <v>45452</v>
      </c>
      <c r="C48" s="1" t="s">
        <v>162</v>
      </c>
      <c r="D48" s="1" t="s">
        <v>163</v>
      </c>
      <c r="E48" s="1" t="s">
        <v>31</v>
      </c>
      <c r="F48" s="1" t="s">
        <v>32</v>
      </c>
      <c r="G48" s="1" t="s">
        <v>33</v>
      </c>
      <c r="H48" s="4">
        <v>4</v>
      </c>
      <c r="I48" s="4">
        <v>59.99</v>
      </c>
      <c r="J48" s="1" t="s">
        <v>20</v>
      </c>
      <c r="K48" s="1" t="s">
        <v>63</v>
      </c>
      <c r="L48" s="1" t="s">
        <v>36</v>
      </c>
      <c r="M48" s="3">
        <v>44435</v>
      </c>
      <c r="N48" s="4">
        <v>239.96</v>
      </c>
    </row>
    <row r="49" spans="1:14" ht="15.75" thickBot="1" x14ac:dyDescent="0.3">
      <c r="A49" s="1" t="s">
        <v>164</v>
      </c>
      <c r="B49" s="3">
        <v>45456</v>
      </c>
      <c r="C49" s="1" t="s">
        <v>129</v>
      </c>
      <c r="D49" s="1" t="s">
        <v>130</v>
      </c>
      <c r="E49" s="1" t="s">
        <v>117</v>
      </c>
      <c r="F49" s="1" t="s">
        <v>118</v>
      </c>
      <c r="G49" s="1" t="s">
        <v>19</v>
      </c>
      <c r="H49" s="4">
        <v>5</v>
      </c>
      <c r="I49" s="4">
        <v>89.99</v>
      </c>
      <c r="J49" s="1" t="s">
        <v>20</v>
      </c>
      <c r="K49" s="1" t="s">
        <v>21</v>
      </c>
      <c r="L49" s="1" t="s">
        <v>27</v>
      </c>
      <c r="M49" s="3">
        <v>44579</v>
      </c>
      <c r="N49" s="4">
        <v>449.95</v>
      </c>
    </row>
    <row r="50" spans="1:14" ht="15.75" thickBot="1" x14ac:dyDescent="0.3">
      <c r="A50" s="1" t="s">
        <v>165</v>
      </c>
      <c r="B50" s="3">
        <v>45459</v>
      </c>
      <c r="C50" s="1" t="s">
        <v>99</v>
      </c>
      <c r="D50" s="1" t="s">
        <v>100</v>
      </c>
      <c r="E50" s="1" t="s">
        <v>117</v>
      </c>
      <c r="F50" s="1" t="s">
        <v>118</v>
      </c>
      <c r="G50" s="1" t="s">
        <v>19</v>
      </c>
      <c r="H50" s="4">
        <v>2</v>
      </c>
      <c r="I50" s="4">
        <v>89.99</v>
      </c>
      <c r="J50" s="1" t="s">
        <v>26</v>
      </c>
      <c r="K50" s="1" t="s">
        <v>35</v>
      </c>
      <c r="L50" s="1" t="s">
        <v>27</v>
      </c>
      <c r="M50" s="3">
        <v>44471</v>
      </c>
      <c r="N50" s="4">
        <v>179.98</v>
      </c>
    </row>
    <row r="51" spans="1:14" ht="15.75" thickBot="1" x14ac:dyDescent="0.3">
      <c r="A51" s="1" t="s">
        <v>166</v>
      </c>
      <c r="B51" s="3">
        <v>45459</v>
      </c>
      <c r="C51" s="1" t="s">
        <v>15</v>
      </c>
      <c r="D51" s="1" t="s">
        <v>16</v>
      </c>
      <c r="E51" s="1" t="s">
        <v>61</v>
      </c>
      <c r="F51" s="1" t="s">
        <v>62</v>
      </c>
      <c r="G51" s="1" t="s">
        <v>19</v>
      </c>
      <c r="H51" s="4">
        <v>5</v>
      </c>
      <c r="I51" s="4">
        <v>899.99</v>
      </c>
      <c r="J51" s="1" t="s">
        <v>26</v>
      </c>
      <c r="K51" s="1" t="s">
        <v>35</v>
      </c>
      <c r="L51" s="1" t="s">
        <v>36</v>
      </c>
      <c r="M51" s="3">
        <v>44974</v>
      </c>
      <c r="N51" s="4">
        <v>4499.95</v>
      </c>
    </row>
    <row r="52" spans="1:14" ht="15.75" thickBot="1" x14ac:dyDescent="0.3">
      <c r="A52" s="1" t="s">
        <v>167</v>
      </c>
      <c r="B52" s="3">
        <v>45459</v>
      </c>
      <c r="C52" s="1" t="s">
        <v>123</v>
      </c>
      <c r="D52" s="1" t="s">
        <v>124</v>
      </c>
      <c r="E52" s="1" t="s">
        <v>61</v>
      </c>
      <c r="F52" s="1" t="s">
        <v>62</v>
      </c>
      <c r="G52" s="1" t="s">
        <v>19</v>
      </c>
      <c r="H52" s="4">
        <v>5</v>
      </c>
      <c r="I52" s="4">
        <v>899.99</v>
      </c>
      <c r="J52" s="1" t="s">
        <v>34</v>
      </c>
      <c r="K52" s="1" t="s">
        <v>63</v>
      </c>
      <c r="L52" s="1" t="s">
        <v>27</v>
      </c>
      <c r="M52" s="3">
        <v>45278</v>
      </c>
      <c r="N52" s="4">
        <v>4499.95</v>
      </c>
    </row>
    <row r="53" spans="1:14" ht="15.75" thickBot="1" x14ac:dyDescent="0.3">
      <c r="A53" s="1" t="s">
        <v>168</v>
      </c>
      <c r="B53" s="3">
        <v>45460</v>
      </c>
      <c r="C53" s="1" t="s">
        <v>158</v>
      </c>
      <c r="D53" s="1" t="s">
        <v>159</v>
      </c>
      <c r="E53" s="1" t="s">
        <v>31</v>
      </c>
      <c r="F53" s="1" t="s">
        <v>32</v>
      </c>
      <c r="G53" s="1" t="s">
        <v>33</v>
      </c>
      <c r="H53" s="4">
        <v>1</v>
      </c>
      <c r="I53" s="4">
        <v>59.99</v>
      </c>
      <c r="J53" s="1" t="s">
        <v>57</v>
      </c>
      <c r="K53" s="1" t="s">
        <v>50</v>
      </c>
      <c r="L53" s="1" t="s">
        <v>27</v>
      </c>
      <c r="M53" s="3">
        <v>45190</v>
      </c>
      <c r="N53" s="4">
        <v>59.99</v>
      </c>
    </row>
    <row r="54" spans="1:14" ht="15.75" thickBot="1" x14ac:dyDescent="0.3">
      <c r="A54" s="1" t="s">
        <v>169</v>
      </c>
      <c r="B54" s="3">
        <v>45460</v>
      </c>
      <c r="C54" s="1" t="s">
        <v>141</v>
      </c>
      <c r="D54" s="1" t="s">
        <v>142</v>
      </c>
      <c r="E54" s="1" t="s">
        <v>105</v>
      </c>
      <c r="F54" s="1" t="s">
        <v>106</v>
      </c>
      <c r="G54" s="1" t="s">
        <v>46</v>
      </c>
      <c r="H54" s="4">
        <v>2</v>
      </c>
      <c r="I54" s="4">
        <v>299.99</v>
      </c>
      <c r="J54" s="1" t="s">
        <v>57</v>
      </c>
      <c r="K54" s="1" t="s">
        <v>63</v>
      </c>
      <c r="L54" s="1" t="s">
        <v>36</v>
      </c>
      <c r="M54" s="3">
        <v>45253</v>
      </c>
      <c r="N54" s="4">
        <v>599.98</v>
      </c>
    </row>
    <row r="55" spans="1:14" ht="15.75" thickBot="1" x14ac:dyDescent="0.3">
      <c r="A55" s="1" t="s">
        <v>170</v>
      </c>
      <c r="B55" s="3">
        <v>45468</v>
      </c>
      <c r="C55" s="1" t="s">
        <v>171</v>
      </c>
      <c r="D55" s="1" t="s">
        <v>172</v>
      </c>
      <c r="E55" s="1" t="s">
        <v>117</v>
      </c>
      <c r="F55" s="1" t="s">
        <v>118</v>
      </c>
      <c r="G55" s="1" t="s">
        <v>19</v>
      </c>
      <c r="H55" s="4">
        <v>4</v>
      </c>
      <c r="I55" s="4">
        <v>89.99</v>
      </c>
      <c r="J55" s="1" t="s">
        <v>57</v>
      </c>
      <c r="K55" s="1" t="s">
        <v>35</v>
      </c>
      <c r="L55" s="1" t="s">
        <v>22</v>
      </c>
      <c r="M55" s="3">
        <v>45281</v>
      </c>
      <c r="N55" s="4">
        <v>359.96</v>
      </c>
    </row>
    <row r="56" spans="1:14" ht="15.75" thickBot="1" x14ac:dyDescent="0.3">
      <c r="A56" s="1" t="s">
        <v>173</v>
      </c>
      <c r="B56" s="3">
        <v>45469</v>
      </c>
      <c r="C56" s="1" t="s">
        <v>29</v>
      </c>
      <c r="D56" s="1" t="s">
        <v>30</v>
      </c>
      <c r="E56" s="1" t="s">
        <v>114</v>
      </c>
      <c r="F56" s="1" t="s">
        <v>115</v>
      </c>
      <c r="G56" s="1" t="s">
        <v>33</v>
      </c>
      <c r="H56" s="4">
        <v>1</v>
      </c>
      <c r="I56" s="4">
        <v>79.989999999999995</v>
      </c>
      <c r="J56" s="1" t="s">
        <v>34</v>
      </c>
      <c r="K56" s="1" t="s">
        <v>21</v>
      </c>
      <c r="L56" s="1" t="s">
        <v>27</v>
      </c>
      <c r="M56" s="3">
        <v>45352</v>
      </c>
      <c r="N56" s="4">
        <v>79.989999999999995</v>
      </c>
    </row>
    <row r="57" spans="1:14" ht="15.75" thickBot="1" x14ac:dyDescent="0.3">
      <c r="A57" s="1" t="s">
        <v>174</v>
      </c>
      <c r="B57" s="3">
        <v>45469</v>
      </c>
      <c r="C57" s="1" t="s">
        <v>59</v>
      </c>
      <c r="D57" s="1" t="s">
        <v>60</v>
      </c>
      <c r="E57" s="1" t="s">
        <v>117</v>
      </c>
      <c r="F57" s="1" t="s">
        <v>118</v>
      </c>
      <c r="G57" s="1" t="s">
        <v>19</v>
      </c>
      <c r="H57" s="4">
        <v>2</v>
      </c>
      <c r="I57" s="4">
        <v>89.99</v>
      </c>
      <c r="J57" s="1" t="s">
        <v>20</v>
      </c>
      <c r="K57" s="1" t="s">
        <v>50</v>
      </c>
      <c r="L57" s="1" t="s">
        <v>22</v>
      </c>
      <c r="M57" s="3">
        <v>44438</v>
      </c>
      <c r="N57" s="4">
        <v>179.98</v>
      </c>
    </row>
    <row r="58" spans="1:14" ht="15.75" thickBot="1" x14ac:dyDescent="0.3">
      <c r="A58" s="1" t="s">
        <v>175</v>
      </c>
      <c r="B58" s="3">
        <v>45471</v>
      </c>
      <c r="C58" s="1" t="s">
        <v>38</v>
      </c>
      <c r="D58" s="1" t="s">
        <v>39</v>
      </c>
      <c r="E58" s="1" t="s">
        <v>80</v>
      </c>
      <c r="F58" s="1" t="s">
        <v>81</v>
      </c>
      <c r="G58" s="1" t="s">
        <v>19</v>
      </c>
      <c r="H58" s="4">
        <v>3</v>
      </c>
      <c r="I58" s="4">
        <v>699.99</v>
      </c>
      <c r="J58" s="1" t="s">
        <v>26</v>
      </c>
      <c r="K58" s="1" t="s">
        <v>63</v>
      </c>
      <c r="L58" s="1" t="s">
        <v>27</v>
      </c>
      <c r="M58" s="3">
        <v>45102</v>
      </c>
      <c r="N58" s="4">
        <v>2099.9699999999998</v>
      </c>
    </row>
    <row r="59" spans="1:14" ht="15.75" thickBot="1" x14ac:dyDescent="0.3">
      <c r="A59" s="1" t="s">
        <v>176</v>
      </c>
      <c r="B59" s="3">
        <v>45471</v>
      </c>
      <c r="C59" s="1" t="s">
        <v>99</v>
      </c>
      <c r="D59" s="1" t="s">
        <v>100</v>
      </c>
      <c r="E59" s="1" t="s">
        <v>61</v>
      </c>
      <c r="F59" s="1" t="s">
        <v>62</v>
      </c>
      <c r="G59" s="1" t="s">
        <v>19</v>
      </c>
      <c r="H59" s="4">
        <v>4</v>
      </c>
      <c r="I59" s="4">
        <v>899.99</v>
      </c>
      <c r="J59" s="1" t="s">
        <v>26</v>
      </c>
      <c r="K59" s="1" t="s">
        <v>63</v>
      </c>
      <c r="L59" s="1" t="s">
        <v>27</v>
      </c>
      <c r="M59" s="3">
        <v>44993</v>
      </c>
      <c r="N59" s="4">
        <v>3599.96</v>
      </c>
    </row>
    <row r="60" spans="1:14" ht="15.75" thickBot="1" x14ac:dyDescent="0.3">
      <c r="A60" s="1" t="s">
        <v>177</v>
      </c>
      <c r="B60" s="3">
        <v>45472</v>
      </c>
      <c r="C60" s="1" t="s">
        <v>120</v>
      </c>
      <c r="D60" s="1" t="s">
        <v>121</v>
      </c>
      <c r="E60" s="1" t="s">
        <v>44</v>
      </c>
      <c r="F60" s="1" t="s">
        <v>45</v>
      </c>
      <c r="G60" s="1" t="s">
        <v>46</v>
      </c>
      <c r="H60" s="4">
        <v>1</v>
      </c>
      <c r="I60" s="4">
        <v>149.99</v>
      </c>
      <c r="J60" s="1" t="s">
        <v>34</v>
      </c>
      <c r="K60" s="1" t="s">
        <v>63</v>
      </c>
      <c r="L60" s="1" t="s">
        <v>22</v>
      </c>
      <c r="M60" s="3">
        <v>44851</v>
      </c>
      <c r="N60" s="4">
        <v>149.99</v>
      </c>
    </row>
    <row r="61" spans="1:14" ht="15.75" thickBot="1" x14ac:dyDescent="0.3">
      <c r="A61" s="1" t="s">
        <v>178</v>
      </c>
      <c r="B61" s="3">
        <v>45474</v>
      </c>
      <c r="C61" s="1" t="s">
        <v>132</v>
      </c>
      <c r="D61" s="1" t="s">
        <v>133</v>
      </c>
      <c r="E61" s="1" t="s">
        <v>117</v>
      </c>
      <c r="F61" s="1" t="s">
        <v>118</v>
      </c>
      <c r="G61" s="1" t="s">
        <v>19</v>
      </c>
      <c r="H61" s="4">
        <v>2</v>
      </c>
      <c r="I61" s="4">
        <v>89.99</v>
      </c>
      <c r="J61" s="1" t="s">
        <v>34</v>
      </c>
      <c r="K61" s="1" t="s">
        <v>21</v>
      </c>
      <c r="L61" s="1" t="s">
        <v>27</v>
      </c>
      <c r="M61" s="3">
        <v>45275</v>
      </c>
      <c r="N61" s="4">
        <v>179.98</v>
      </c>
    </row>
    <row r="62" spans="1:14" ht="15.75" thickBot="1" x14ac:dyDescent="0.3">
      <c r="A62" s="1" t="s">
        <v>179</v>
      </c>
      <c r="B62" s="3">
        <v>45475</v>
      </c>
      <c r="C62" s="1" t="s">
        <v>55</v>
      </c>
      <c r="D62" s="1" t="s">
        <v>56</v>
      </c>
      <c r="E62" s="1" t="s">
        <v>117</v>
      </c>
      <c r="F62" s="1" t="s">
        <v>118</v>
      </c>
      <c r="G62" s="1" t="s">
        <v>19</v>
      </c>
      <c r="H62" s="4">
        <v>1</v>
      </c>
      <c r="I62" s="4">
        <v>89.99</v>
      </c>
      <c r="J62" s="1" t="s">
        <v>34</v>
      </c>
      <c r="K62" s="1" t="s">
        <v>50</v>
      </c>
      <c r="L62" s="1" t="s">
        <v>36</v>
      </c>
      <c r="M62" s="3">
        <v>44802</v>
      </c>
      <c r="N62" s="4">
        <v>89.99</v>
      </c>
    </row>
    <row r="63" spans="1:14" ht="15.75" thickBot="1" x14ac:dyDescent="0.3">
      <c r="A63" s="1" t="s">
        <v>180</v>
      </c>
      <c r="B63" s="3">
        <v>45476</v>
      </c>
      <c r="C63" s="1" t="s">
        <v>68</v>
      </c>
      <c r="D63" s="1" t="s">
        <v>69</v>
      </c>
      <c r="E63" s="1" t="s">
        <v>117</v>
      </c>
      <c r="F63" s="1" t="s">
        <v>118</v>
      </c>
      <c r="G63" s="1" t="s">
        <v>19</v>
      </c>
      <c r="H63" s="4">
        <v>1</v>
      </c>
      <c r="I63" s="4">
        <v>89.99</v>
      </c>
      <c r="J63" s="1" t="s">
        <v>20</v>
      </c>
      <c r="K63" s="1" t="s">
        <v>35</v>
      </c>
      <c r="L63" s="1" t="s">
        <v>36</v>
      </c>
      <c r="M63" s="3">
        <v>44611</v>
      </c>
      <c r="N63" s="4">
        <v>89.99</v>
      </c>
    </row>
    <row r="64" spans="1:14" ht="15.75" thickBot="1" x14ac:dyDescent="0.3">
      <c r="A64" s="1" t="s">
        <v>181</v>
      </c>
      <c r="B64" s="3">
        <v>45476</v>
      </c>
      <c r="C64" s="1" t="s">
        <v>182</v>
      </c>
      <c r="D64" s="1" t="s">
        <v>183</v>
      </c>
      <c r="E64" s="1" t="s">
        <v>114</v>
      </c>
      <c r="F64" s="1" t="s">
        <v>115</v>
      </c>
      <c r="G64" s="1" t="s">
        <v>33</v>
      </c>
      <c r="H64" s="4">
        <v>5</v>
      </c>
      <c r="I64" s="4">
        <v>79.989999999999995</v>
      </c>
      <c r="J64" s="1" t="s">
        <v>57</v>
      </c>
      <c r="K64" s="1" t="s">
        <v>21</v>
      </c>
      <c r="L64" s="1" t="s">
        <v>22</v>
      </c>
      <c r="M64" s="3">
        <v>44981</v>
      </c>
      <c r="N64" s="4">
        <v>399.95</v>
      </c>
    </row>
    <row r="65" spans="1:14" ht="15.75" thickBot="1" x14ac:dyDescent="0.3">
      <c r="A65" s="1" t="s">
        <v>184</v>
      </c>
      <c r="B65" s="3">
        <v>45481</v>
      </c>
      <c r="C65" s="1" t="s">
        <v>185</v>
      </c>
      <c r="D65" s="1" t="s">
        <v>186</v>
      </c>
      <c r="E65" s="1" t="s">
        <v>44</v>
      </c>
      <c r="F65" s="1" t="s">
        <v>45</v>
      </c>
      <c r="G65" s="1" t="s">
        <v>46</v>
      </c>
      <c r="H65" s="4">
        <v>1</v>
      </c>
      <c r="I65" s="4">
        <v>149.99</v>
      </c>
      <c r="J65" s="1" t="s">
        <v>34</v>
      </c>
      <c r="K65" s="1" t="s">
        <v>40</v>
      </c>
      <c r="L65" s="1" t="s">
        <v>22</v>
      </c>
      <c r="M65" s="3">
        <v>44421</v>
      </c>
      <c r="N65" s="4">
        <v>149.99</v>
      </c>
    </row>
    <row r="66" spans="1:14" ht="15.75" thickBot="1" x14ac:dyDescent="0.3">
      <c r="A66" s="1" t="s">
        <v>187</v>
      </c>
      <c r="B66" s="3">
        <v>45481</v>
      </c>
      <c r="C66" s="1" t="s">
        <v>42</v>
      </c>
      <c r="D66" s="1" t="s">
        <v>43</v>
      </c>
      <c r="E66" s="1" t="s">
        <v>80</v>
      </c>
      <c r="F66" s="1" t="s">
        <v>81</v>
      </c>
      <c r="G66" s="1" t="s">
        <v>19</v>
      </c>
      <c r="H66" s="4">
        <v>2</v>
      </c>
      <c r="I66" s="4">
        <v>699.99</v>
      </c>
      <c r="J66" s="1" t="s">
        <v>34</v>
      </c>
      <c r="K66" s="1" t="s">
        <v>63</v>
      </c>
      <c r="L66" s="1" t="s">
        <v>27</v>
      </c>
      <c r="M66" s="3">
        <v>45389</v>
      </c>
      <c r="N66" s="4">
        <v>1399.98</v>
      </c>
    </row>
    <row r="67" spans="1:14" ht="15.75" thickBot="1" x14ac:dyDescent="0.3">
      <c r="A67" s="1" t="s">
        <v>188</v>
      </c>
      <c r="B67" s="3">
        <v>45481</v>
      </c>
      <c r="C67" s="1" t="s">
        <v>96</v>
      </c>
      <c r="D67" s="1" t="s">
        <v>97</v>
      </c>
      <c r="E67" s="1" t="s">
        <v>117</v>
      </c>
      <c r="F67" s="1" t="s">
        <v>118</v>
      </c>
      <c r="G67" s="1" t="s">
        <v>19</v>
      </c>
      <c r="H67" s="4">
        <v>5</v>
      </c>
      <c r="I67" s="4">
        <v>89.99</v>
      </c>
      <c r="J67" s="1" t="s">
        <v>57</v>
      </c>
      <c r="K67" s="1" t="s">
        <v>40</v>
      </c>
      <c r="L67" s="1" t="s">
        <v>27</v>
      </c>
      <c r="M67" s="3">
        <v>45161</v>
      </c>
      <c r="N67" s="4">
        <v>449.95</v>
      </c>
    </row>
    <row r="68" spans="1:14" ht="15.75" thickBot="1" x14ac:dyDescent="0.3">
      <c r="A68" s="1" t="s">
        <v>189</v>
      </c>
      <c r="B68" s="3">
        <v>45482</v>
      </c>
      <c r="C68" s="1" t="s">
        <v>171</v>
      </c>
      <c r="D68" s="1" t="s">
        <v>172</v>
      </c>
      <c r="E68" s="1" t="s">
        <v>31</v>
      </c>
      <c r="F68" s="1" t="s">
        <v>32</v>
      </c>
      <c r="G68" s="1" t="s">
        <v>33</v>
      </c>
      <c r="H68" s="4">
        <v>4</v>
      </c>
      <c r="I68" s="4">
        <v>59.99</v>
      </c>
      <c r="J68" s="1" t="s">
        <v>20</v>
      </c>
      <c r="K68" s="1" t="s">
        <v>35</v>
      </c>
      <c r="L68" s="1" t="s">
        <v>36</v>
      </c>
      <c r="M68" s="3">
        <v>44509</v>
      </c>
      <c r="N68" s="4">
        <v>239.96</v>
      </c>
    </row>
    <row r="69" spans="1:14" ht="15.75" thickBot="1" x14ac:dyDescent="0.3">
      <c r="A69" s="1" t="s">
        <v>190</v>
      </c>
      <c r="B69" s="3">
        <v>45484</v>
      </c>
      <c r="C69" s="1" t="s">
        <v>24</v>
      </c>
      <c r="D69" s="1" t="s">
        <v>25</v>
      </c>
      <c r="E69" s="1" t="s">
        <v>52</v>
      </c>
      <c r="F69" s="1" t="s">
        <v>53</v>
      </c>
      <c r="G69" s="1" t="s">
        <v>19</v>
      </c>
      <c r="H69" s="4">
        <v>1</v>
      </c>
      <c r="I69" s="4">
        <v>149.99</v>
      </c>
      <c r="J69" s="1" t="s">
        <v>20</v>
      </c>
      <c r="K69" s="1" t="s">
        <v>21</v>
      </c>
      <c r="L69" s="1" t="s">
        <v>36</v>
      </c>
      <c r="M69" s="3">
        <v>44909</v>
      </c>
      <c r="N69" s="4">
        <v>149.99</v>
      </c>
    </row>
    <row r="70" spans="1:14" ht="15.75" thickBot="1" x14ac:dyDescent="0.3">
      <c r="A70" s="1" t="s">
        <v>191</v>
      </c>
      <c r="B70" s="3">
        <v>45484</v>
      </c>
      <c r="C70" s="1" t="s">
        <v>192</v>
      </c>
      <c r="D70" s="1" t="s">
        <v>193</v>
      </c>
      <c r="E70" s="1" t="s">
        <v>105</v>
      </c>
      <c r="F70" s="1" t="s">
        <v>106</v>
      </c>
      <c r="G70" s="1" t="s">
        <v>46</v>
      </c>
      <c r="H70" s="4">
        <v>1</v>
      </c>
      <c r="I70" s="4">
        <v>299.99</v>
      </c>
      <c r="J70" s="1" t="s">
        <v>26</v>
      </c>
      <c r="K70" s="1" t="s">
        <v>40</v>
      </c>
      <c r="L70" s="1" t="s">
        <v>27</v>
      </c>
      <c r="M70" s="3">
        <v>44891</v>
      </c>
      <c r="N70" s="4">
        <v>299.99</v>
      </c>
    </row>
    <row r="71" spans="1:14" ht="15.75" thickBot="1" x14ac:dyDescent="0.3">
      <c r="A71" s="1" t="s">
        <v>194</v>
      </c>
      <c r="B71" s="3">
        <v>45487</v>
      </c>
      <c r="C71" s="1" t="s">
        <v>192</v>
      </c>
      <c r="D71" s="1" t="s">
        <v>193</v>
      </c>
      <c r="E71" s="1" t="s">
        <v>126</v>
      </c>
      <c r="F71" s="1" t="s">
        <v>127</v>
      </c>
      <c r="G71" s="1" t="s">
        <v>46</v>
      </c>
      <c r="H71" s="4">
        <v>2</v>
      </c>
      <c r="I71" s="4">
        <v>199.99</v>
      </c>
      <c r="J71" s="1" t="s">
        <v>20</v>
      </c>
      <c r="K71" s="1" t="s">
        <v>40</v>
      </c>
      <c r="L71" s="1" t="s">
        <v>22</v>
      </c>
      <c r="M71" s="3">
        <v>44541</v>
      </c>
      <c r="N71" s="4">
        <v>399.98</v>
      </c>
    </row>
    <row r="72" spans="1:14" ht="15.75" thickBot="1" x14ac:dyDescent="0.3">
      <c r="A72" s="1" t="s">
        <v>195</v>
      </c>
      <c r="B72" s="3">
        <v>45490</v>
      </c>
      <c r="C72" s="1" t="s">
        <v>196</v>
      </c>
      <c r="D72" s="1" t="s">
        <v>197</v>
      </c>
      <c r="E72" s="1" t="s">
        <v>31</v>
      </c>
      <c r="F72" s="1" t="s">
        <v>32</v>
      </c>
      <c r="G72" s="1" t="s">
        <v>33</v>
      </c>
      <c r="H72" s="4">
        <v>3</v>
      </c>
      <c r="I72" s="4">
        <v>59.99</v>
      </c>
      <c r="J72" s="1" t="s">
        <v>26</v>
      </c>
      <c r="K72" s="1" t="s">
        <v>50</v>
      </c>
      <c r="L72" s="1" t="s">
        <v>22</v>
      </c>
      <c r="M72" s="3">
        <v>45130</v>
      </c>
      <c r="N72" s="4">
        <v>179.97</v>
      </c>
    </row>
    <row r="73" spans="1:14" ht="15.75" thickBot="1" x14ac:dyDescent="0.3">
      <c r="A73" s="1" t="s">
        <v>198</v>
      </c>
      <c r="B73" s="3">
        <v>45490</v>
      </c>
      <c r="C73" s="1" t="s">
        <v>72</v>
      </c>
      <c r="D73" s="1" t="s">
        <v>73</v>
      </c>
      <c r="E73" s="1" t="s">
        <v>44</v>
      </c>
      <c r="F73" s="1" t="s">
        <v>45</v>
      </c>
      <c r="G73" s="1" t="s">
        <v>46</v>
      </c>
      <c r="H73" s="4">
        <v>3</v>
      </c>
      <c r="I73" s="4">
        <v>149.99</v>
      </c>
      <c r="J73" s="1" t="s">
        <v>20</v>
      </c>
      <c r="K73" s="1" t="s">
        <v>21</v>
      </c>
      <c r="L73" s="1" t="s">
        <v>27</v>
      </c>
      <c r="M73" s="3">
        <v>45199</v>
      </c>
      <c r="N73" s="4">
        <v>449.97</v>
      </c>
    </row>
    <row r="74" spans="1:14" ht="15.75" thickBot="1" x14ac:dyDescent="0.3">
      <c r="A74" s="1" t="s">
        <v>199</v>
      </c>
      <c r="B74" s="3">
        <v>45491</v>
      </c>
      <c r="C74" s="1" t="s">
        <v>65</v>
      </c>
      <c r="D74" s="1" t="s">
        <v>66</v>
      </c>
      <c r="E74" s="1" t="s">
        <v>126</v>
      </c>
      <c r="F74" s="1" t="s">
        <v>127</v>
      </c>
      <c r="G74" s="1" t="s">
        <v>46</v>
      </c>
      <c r="H74" s="4">
        <v>3</v>
      </c>
      <c r="I74" s="4">
        <v>199.99</v>
      </c>
      <c r="J74" s="1" t="s">
        <v>20</v>
      </c>
      <c r="K74" s="1" t="s">
        <v>40</v>
      </c>
      <c r="L74" s="1" t="s">
        <v>27</v>
      </c>
      <c r="M74" s="3">
        <v>45254</v>
      </c>
      <c r="N74" s="4">
        <v>599.97</v>
      </c>
    </row>
    <row r="75" spans="1:14" ht="15.75" thickBot="1" x14ac:dyDescent="0.3">
      <c r="A75" s="1" t="s">
        <v>200</v>
      </c>
      <c r="B75" s="3">
        <v>45496</v>
      </c>
      <c r="C75" s="1" t="s">
        <v>150</v>
      </c>
      <c r="D75" s="1" t="s">
        <v>151</v>
      </c>
      <c r="E75" s="1" t="s">
        <v>61</v>
      </c>
      <c r="F75" s="1" t="s">
        <v>62</v>
      </c>
      <c r="G75" s="1" t="s">
        <v>19</v>
      </c>
      <c r="H75" s="4">
        <v>1</v>
      </c>
      <c r="I75" s="4">
        <v>899.99</v>
      </c>
      <c r="J75" s="1" t="s">
        <v>20</v>
      </c>
      <c r="K75" s="1" t="s">
        <v>21</v>
      </c>
      <c r="L75" s="1" t="s">
        <v>36</v>
      </c>
      <c r="M75" s="3">
        <v>45179</v>
      </c>
      <c r="N75" s="4">
        <v>899.99</v>
      </c>
    </row>
    <row r="76" spans="1:14" ht="15.75" thickBot="1" x14ac:dyDescent="0.3">
      <c r="A76" s="1" t="s">
        <v>201</v>
      </c>
      <c r="B76" s="3">
        <v>45497</v>
      </c>
      <c r="C76" s="1" t="s">
        <v>24</v>
      </c>
      <c r="D76" s="1" t="s">
        <v>25</v>
      </c>
      <c r="E76" s="1" t="s">
        <v>61</v>
      </c>
      <c r="F76" s="1" t="s">
        <v>62</v>
      </c>
      <c r="G76" s="1" t="s">
        <v>19</v>
      </c>
      <c r="H76" s="4">
        <v>5</v>
      </c>
      <c r="I76" s="4">
        <v>899.99</v>
      </c>
      <c r="J76" s="1" t="s">
        <v>57</v>
      </c>
      <c r="K76" s="1" t="s">
        <v>35</v>
      </c>
      <c r="L76" s="1" t="s">
        <v>36</v>
      </c>
      <c r="M76" s="3">
        <v>44899</v>
      </c>
      <c r="N76" s="4">
        <v>4499.95</v>
      </c>
    </row>
    <row r="77" spans="1:14" ht="15.75" thickBot="1" x14ac:dyDescent="0.3">
      <c r="A77" s="1" t="s">
        <v>202</v>
      </c>
      <c r="B77" s="3">
        <v>45498</v>
      </c>
      <c r="C77" s="1" t="s">
        <v>182</v>
      </c>
      <c r="D77" s="1" t="s">
        <v>183</v>
      </c>
      <c r="E77" s="1" t="s">
        <v>31</v>
      </c>
      <c r="F77" s="1" t="s">
        <v>32</v>
      </c>
      <c r="G77" s="1" t="s">
        <v>33</v>
      </c>
      <c r="H77" s="4">
        <v>2</v>
      </c>
      <c r="I77" s="4">
        <v>59.99</v>
      </c>
      <c r="J77" s="1" t="s">
        <v>20</v>
      </c>
      <c r="K77" s="1" t="s">
        <v>40</v>
      </c>
      <c r="L77" s="1" t="s">
        <v>36</v>
      </c>
      <c r="M77" s="3">
        <v>45152</v>
      </c>
      <c r="N77" s="4">
        <v>119.98</v>
      </c>
    </row>
    <row r="78" spans="1:14" ht="15.75" thickBot="1" x14ac:dyDescent="0.3">
      <c r="A78" s="1" t="s">
        <v>203</v>
      </c>
      <c r="B78" s="3">
        <v>45498</v>
      </c>
      <c r="C78" s="1" t="s">
        <v>196</v>
      </c>
      <c r="D78" s="1" t="s">
        <v>197</v>
      </c>
      <c r="E78" s="1" t="s">
        <v>17</v>
      </c>
      <c r="F78" s="1" t="s">
        <v>18</v>
      </c>
      <c r="G78" s="1" t="s">
        <v>19</v>
      </c>
      <c r="H78" s="4">
        <v>4</v>
      </c>
      <c r="I78" s="4">
        <v>249.99</v>
      </c>
      <c r="J78" s="1" t="s">
        <v>57</v>
      </c>
      <c r="K78" s="1" t="s">
        <v>21</v>
      </c>
      <c r="L78" s="1" t="s">
        <v>36</v>
      </c>
      <c r="M78" s="3">
        <v>45127</v>
      </c>
      <c r="N78" s="4">
        <v>999.96</v>
      </c>
    </row>
    <row r="79" spans="1:14" ht="15.75" thickBot="1" x14ac:dyDescent="0.3">
      <c r="A79" s="1" t="s">
        <v>204</v>
      </c>
      <c r="B79" s="3">
        <v>45500</v>
      </c>
      <c r="C79" s="1" t="s">
        <v>96</v>
      </c>
      <c r="D79" s="1" t="s">
        <v>97</v>
      </c>
      <c r="E79" s="1" t="s">
        <v>17</v>
      </c>
      <c r="F79" s="1" t="s">
        <v>18</v>
      </c>
      <c r="G79" s="1" t="s">
        <v>19</v>
      </c>
      <c r="H79" s="4">
        <v>2</v>
      </c>
      <c r="I79" s="4">
        <v>249.99</v>
      </c>
      <c r="J79" s="1" t="s">
        <v>20</v>
      </c>
      <c r="K79" s="1" t="s">
        <v>40</v>
      </c>
      <c r="L79" s="1" t="s">
        <v>27</v>
      </c>
      <c r="M79" s="3">
        <v>45164</v>
      </c>
      <c r="N79" s="4">
        <v>499.98</v>
      </c>
    </row>
    <row r="80" spans="1:14" ht="15.75" thickBot="1" x14ac:dyDescent="0.3">
      <c r="A80" s="1" t="s">
        <v>205</v>
      </c>
      <c r="B80" s="3">
        <v>45500</v>
      </c>
      <c r="C80" s="1" t="s">
        <v>147</v>
      </c>
      <c r="D80" s="1" t="s">
        <v>148</v>
      </c>
      <c r="E80" s="1" t="s">
        <v>105</v>
      </c>
      <c r="F80" s="1" t="s">
        <v>106</v>
      </c>
      <c r="G80" s="1" t="s">
        <v>46</v>
      </c>
      <c r="H80" s="4">
        <v>1</v>
      </c>
      <c r="I80" s="4">
        <v>299.99</v>
      </c>
      <c r="J80" s="1" t="s">
        <v>20</v>
      </c>
      <c r="K80" s="1" t="s">
        <v>35</v>
      </c>
      <c r="L80" s="1" t="s">
        <v>22</v>
      </c>
      <c r="M80" s="3">
        <v>44982</v>
      </c>
      <c r="N80" s="4">
        <v>299.99</v>
      </c>
    </row>
    <row r="81" spans="1:14" ht="15.75" thickBot="1" x14ac:dyDescent="0.3">
      <c r="A81" s="1" t="s">
        <v>206</v>
      </c>
      <c r="B81" s="3">
        <v>45501</v>
      </c>
      <c r="C81" s="1" t="s">
        <v>86</v>
      </c>
      <c r="D81" s="1" t="s">
        <v>87</v>
      </c>
      <c r="E81" s="1" t="s">
        <v>117</v>
      </c>
      <c r="F81" s="1" t="s">
        <v>118</v>
      </c>
      <c r="G81" s="1" t="s">
        <v>19</v>
      </c>
      <c r="H81" s="4">
        <v>2</v>
      </c>
      <c r="I81" s="4">
        <v>89.99</v>
      </c>
      <c r="J81" s="1" t="s">
        <v>34</v>
      </c>
      <c r="K81" s="1" t="s">
        <v>35</v>
      </c>
      <c r="L81" s="1" t="s">
        <v>22</v>
      </c>
      <c r="M81" s="3">
        <v>44976</v>
      </c>
      <c r="N81" s="4">
        <v>179.98</v>
      </c>
    </row>
    <row r="82" spans="1:14" ht="15.75" thickBot="1" x14ac:dyDescent="0.3">
      <c r="A82" s="1" t="s">
        <v>207</v>
      </c>
      <c r="B82" s="3">
        <v>45501</v>
      </c>
      <c r="C82" s="1" t="s">
        <v>147</v>
      </c>
      <c r="D82" s="1" t="s">
        <v>148</v>
      </c>
      <c r="E82" s="1" t="s">
        <v>105</v>
      </c>
      <c r="F82" s="1" t="s">
        <v>106</v>
      </c>
      <c r="G82" s="1" t="s">
        <v>46</v>
      </c>
      <c r="H82" s="4">
        <v>3</v>
      </c>
      <c r="I82" s="4">
        <v>299.99</v>
      </c>
      <c r="J82" s="1" t="s">
        <v>20</v>
      </c>
      <c r="K82" s="1" t="s">
        <v>21</v>
      </c>
      <c r="L82" s="1" t="s">
        <v>22</v>
      </c>
      <c r="M82" s="3">
        <v>44732</v>
      </c>
      <c r="N82" s="4">
        <v>899.97</v>
      </c>
    </row>
    <row r="83" spans="1:14" ht="15.75" thickBot="1" x14ac:dyDescent="0.3">
      <c r="A83" s="1" t="s">
        <v>208</v>
      </c>
      <c r="B83" s="3">
        <v>45503</v>
      </c>
      <c r="C83" s="1" t="s">
        <v>86</v>
      </c>
      <c r="D83" s="1" t="s">
        <v>87</v>
      </c>
      <c r="E83" s="1" t="s">
        <v>80</v>
      </c>
      <c r="F83" s="1" t="s">
        <v>81</v>
      </c>
      <c r="G83" s="1" t="s">
        <v>19</v>
      </c>
      <c r="H83" s="4">
        <v>2</v>
      </c>
      <c r="I83" s="4">
        <v>699.99</v>
      </c>
      <c r="J83" s="1" t="s">
        <v>26</v>
      </c>
      <c r="K83" s="1" t="s">
        <v>40</v>
      </c>
      <c r="L83" s="1" t="s">
        <v>27</v>
      </c>
      <c r="M83" s="3">
        <v>44999</v>
      </c>
      <c r="N83" s="4">
        <v>1399.98</v>
      </c>
    </row>
    <row r="84" spans="1:14" ht="15.75" thickBot="1" x14ac:dyDescent="0.3">
      <c r="A84" s="1" t="s">
        <v>209</v>
      </c>
      <c r="B84" s="3">
        <v>45504</v>
      </c>
      <c r="C84" s="1" t="s">
        <v>120</v>
      </c>
      <c r="D84" s="1" t="s">
        <v>121</v>
      </c>
      <c r="E84" s="1" t="s">
        <v>61</v>
      </c>
      <c r="F84" s="1" t="s">
        <v>62</v>
      </c>
      <c r="G84" s="1" t="s">
        <v>19</v>
      </c>
      <c r="H84" s="4">
        <v>4</v>
      </c>
      <c r="I84" s="4">
        <v>899.99</v>
      </c>
      <c r="J84" s="1" t="s">
        <v>57</v>
      </c>
      <c r="K84" s="1" t="s">
        <v>35</v>
      </c>
      <c r="L84" s="1" t="s">
        <v>36</v>
      </c>
      <c r="M84" s="3">
        <v>44523</v>
      </c>
      <c r="N84" s="4">
        <v>3599.96</v>
      </c>
    </row>
    <row r="85" spans="1:14" ht="15.75" thickBot="1" x14ac:dyDescent="0.3">
      <c r="A85" s="1" t="s">
        <v>210</v>
      </c>
      <c r="B85" s="3">
        <v>45509</v>
      </c>
      <c r="C85" s="1" t="s">
        <v>211</v>
      </c>
      <c r="D85" s="1" t="s">
        <v>212</v>
      </c>
      <c r="E85" s="1" t="s">
        <v>44</v>
      </c>
      <c r="F85" s="1" t="s">
        <v>45</v>
      </c>
      <c r="G85" s="1" t="s">
        <v>46</v>
      </c>
      <c r="H85" s="4">
        <v>2</v>
      </c>
      <c r="I85" s="4">
        <v>149.99</v>
      </c>
      <c r="J85" s="1" t="s">
        <v>26</v>
      </c>
      <c r="K85" s="1" t="s">
        <v>50</v>
      </c>
      <c r="L85" s="1" t="s">
        <v>22</v>
      </c>
      <c r="M85" s="3">
        <v>44542</v>
      </c>
      <c r="N85" s="4">
        <v>299.98</v>
      </c>
    </row>
    <row r="86" spans="1:14" ht="15.75" thickBot="1" x14ac:dyDescent="0.3">
      <c r="A86" s="1" t="s">
        <v>213</v>
      </c>
      <c r="B86" s="3">
        <v>45510</v>
      </c>
      <c r="C86" s="1" t="s">
        <v>102</v>
      </c>
      <c r="D86" s="1" t="s">
        <v>103</v>
      </c>
      <c r="E86" s="1" t="s">
        <v>44</v>
      </c>
      <c r="F86" s="1" t="s">
        <v>45</v>
      </c>
      <c r="G86" s="1" t="s">
        <v>46</v>
      </c>
      <c r="H86" s="4">
        <v>2</v>
      </c>
      <c r="I86" s="4">
        <v>149.99</v>
      </c>
      <c r="J86" s="1" t="s">
        <v>57</v>
      </c>
      <c r="K86" s="1" t="s">
        <v>63</v>
      </c>
      <c r="L86" s="1" t="s">
        <v>36</v>
      </c>
      <c r="M86" s="3">
        <v>44667</v>
      </c>
      <c r="N86" s="4">
        <v>299.98</v>
      </c>
    </row>
    <row r="87" spans="1:14" ht="15.75" thickBot="1" x14ac:dyDescent="0.3">
      <c r="A87" s="1" t="s">
        <v>214</v>
      </c>
      <c r="B87" s="3">
        <v>45513</v>
      </c>
      <c r="C87" s="1" t="s">
        <v>89</v>
      </c>
      <c r="D87" s="1" t="s">
        <v>90</v>
      </c>
      <c r="E87" s="1" t="s">
        <v>117</v>
      </c>
      <c r="F87" s="1" t="s">
        <v>118</v>
      </c>
      <c r="G87" s="1" t="s">
        <v>19</v>
      </c>
      <c r="H87" s="4">
        <v>1</v>
      </c>
      <c r="I87" s="4">
        <v>89.99</v>
      </c>
      <c r="J87" s="1" t="s">
        <v>26</v>
      </c>
      <c r="K87" s="1" t="s">
        <v>40</v>
      </c>
      <c r="L87" s="1" t="s">
        <v>36</v>
      </c>
      <c r="M87" s="3">
        <v>45393</v>
      </c>
      <c r="N87" s="4">
        <v>89.99</v>
      </c>
    </row>
    <row r="88" spans="1:14" ht="15.75" thickBot="1" x14ac:dyDescent="0.3">
      <c r="A88" s="1" t="s">
        <v>215</v>
      </c>
      <c r="B88" s="3">
        <v>45515</v>
      </c>
      <c r="C88" s="1" t="s">
        <v>86</v>
      </c>
      <c r="D88" s="1" t="s">
        <v>87</v>
      </c>
      <c r="E88" s="1" t="s">
        <v>105</v>
      </c>
      <c r="F88" s="1" t="s">
        <v>106</v>
      </c>
      <c r="G88" s="1" t="s">
        <v>46</v>
      </c>
      <c r="H88" s="4">
        <v>5</v>
      </c>
      <c r="I88" s="4">
        <v>299.99</v>
      </c>
      <c r="J88" s="1" t="s">
        <v>26</v>
      </c>
      <c r="K88" s="1" t="s">
        <v>40</v>
      </c>
      <c r="L88" s="1" t="s">
        <v>22</v>
      </c>
      <c r="M88" s="3">
        <v>44965</v>
      </c>
      <c r="N88" s="4">
        <v>1499.95</v>
      </c>
    </row>
    <row r="89" spans="1:14" ht="15.75" thickBot="1" x14ac:dyDescent="0.3">
      <c r="A89" s="1" t="s">
        <v>216</v>
      </c>
      <c r="B89" s="3">
        <v>45517</v>
      </c>
      <c r="C89" s="1" t="s">
        <v>182</v>
      </c>
      <c r="D89" s="1" t="s">
        <v>183</v>
      </c>
      <c r="E89" s="1" t="s">
        <v>52</v>
      </c>
      <c r="F89" s="1" t="s">
        <v>53</v>
      </c>
      <c r="G89" s="1" t="s">
        <v>19</v>
      </c>
      <c r="H89" s="4">
        <v>4</v>
      </c>
      <c r="I89" s="4">
        <v>149.99</v>
      </c>
      <c r="J89" s="1" t="s">
        <v>57</v>
      </c>
      <c r="K89" s="1" t="s">
        <v>35</v>
      </c>
      <c r="L89" s="1" t="s">
        <v>27</v>
      </c>
      <c r="M89" s="3">
        <v>44820</v>
      </c>
      <c r="N89" s="4">
        <v>599.96</v>
      </c>
    </row>
    <row r="90" spans="1:14" ht="15.75" thickBot="1" x14ac:dyDescent="0.3">
      <c r="A90" s="1" t="s">
        <v>217</v>
      </c>
      <c r="B90" s="3">
        <v>45517</v>
      </c>
      <c r="C90" s="1" t="s">
        <v>185</v>
      </c>
      <c r="D90" s="1" t="s">
        <v>186</v>
      </c>
      <c r="E90" s="1" t="s">
        <v>17</v>
      </c>
      <c r="F90" s="1" t="s">
        <v>18</v>
      </c>
      <c r="G90" s="1" t="s">
        <v>19</v>
      </c>
      <c r="H90" s="4">
        <v>5</v>
      </c>
      <c r="I90" s="4">
        <v>249.99</v>
      </c>
      <c r="J90" s="1" t="s">
        <v>34</v>
      </c>
      <c r="K90" s="1" t="s">
        <v>63</v>
      </c>
      <c r="L90" s="1" t="s">
        <v>27</v>
      </c>
      <c r="M90" s="3">
        <v>44782</v>
      </c>
      <c r="N90" s="4">
        <v>1249.95</v>
      </c>
    </row>
    <row r="91" spans="1:14" ht="15.75" thickBot="1" x14ac:dyDescent="0.3">
      <c r="A91" s="1" t="s">
        <v>218</v>
      </c>
      <c r="B91" s="3">
        <v>45517</v>
      </c>
      <c r="C91" s="1" t="s">
        <v>65</v>
      </c>
      <c r="D91" s="1" t="s">
        <v>66</v>
      </c>
      <c r="E91" s="1" t="s">
        <v>17</v>
      </c>
      <c r="F91" s="1" t="s">
        <v>18</v>
      </c>
      <c r="G91" s="1" t="s">
        <v>19</v>
      </c>
      <c r="H91" s="4">
        <v>3</v>
      </c>
      <c r="I91" s="4">
        <v>249.99</v>
      </c>
      <c r="J91" s="1" t="s">
        <v>34</v>
      </c>
      <c r="K91" s="1" t="s">
        <v>40</v>
      </c>
      <c r="L91" s="1" t="s">
        <v>27</v>
      </c>
      <c r="M91" s="3">
        <v>44465</v>
      </c>
      <c r="N91" s="4">
        <v>749.97</v>
      </c>
    </row>
    <row r="92" spans="1:14" ht="15.75" thickBot="1" x14ac:dyDescent="0.3">
      <c r="A92" s="1" t="s">
        <v>219</v>
      </c>
      <c r="B92" s="3">
        <v>45517</v>
      </c>
      <c r="C92" s="1" t="s">
        <v>38</v>
      </c>
      <c r="D92" s="1" t="s">
        <v>39</v>
      </c>
      <c r="E92" s="1" t="s">
        <v>126</v>
      </c>
      <c r="F92" s="1" t="s">
        <v>127</v>
      </c>
      <c r="G92" s="1" t="s">
        <v>46</v>
      </c>
      <c r="H92" s="4">
        <v>4</v>
      </c>
      <c r="I92" s="4">
        <v>199.99</v>
      </c>
      <c r="J92" s="1" t="s">
        <v>20</v>
      </c>
      <c r="K92" s="1" t="s">
        <v>40</v>
      </c>
      <c r="L92" s="1" t="s">
        <v>36</v>
      </c>
      <c r="M92" s="3">
        <v>44458</v>
      </c>
      <c r="N92" s="4">
        <v>799.96</v>
      </c>
    </row>
    <row r="93" spans="1:14" ht="15.75" thickBot="1" x14ac:dyDescent="0.3">
      <c r="A93" s="1" t="s">
        <v>220</v>
      </c>
      <c r="B93" s="3">
        <v>45519</v>
      </c>
      <c r="C93" s="1" t="s">
        <v>158</v>
      </c>
      <c r="D93" s="1" t="s">
        <v>159</v>
      </c>
      <c r="E93" s="1" t="s">
        <v>126</v>
      </c>
      <c r="F93" s="1" t="s">
        <v>127</v>
      </c>
      <c r="G93" s="1" t="s">
        <v>46</v>
      </c>
      <c r="H93" s="4">
        <v>5</v>
      </c>
      <c r="I93" s="4">
        <v>199.99</v>
      </c>
      <c r="J93" s="1" t="s">
        <v>20</v>
      </c>
      <c r="K93" s="1" t="s">
        <v>40</v>
      </c>
      <c r="L93" s="1" t="s">
        <v>27</v>
      </c>
      <c r="M93" s="3">
        <v>44991</v>
      </c>
      <c r="N93" s="4">
        <v>999.95</v>
      </c>
    </row>
    <row r="94" spans="1:14" ht="15.75" thickBot="1" x14ac:dyDescent="0.3">
      <c r="A94" s="1" t="s">
        <v>221</v>
      </c>
      <c r="B94" s="3">
        <v>45522</v>
      </c>
      <c r="C94" s="1" t="s">
        <v>86</v>
      </c>
      <c r="D94" s="1" t="s">
        <v>87</v>
      </c>
      <c r="E94" s="1" t="s">
        <v>117</v>
      </c>
      <c r="F94" s="1" t="s">
        <v>118</v>
      </c>
      <c r="G94" s="1" t="s">
        <v>19</v>
      </c>
      <c r="H94" s="4">
        <v>2</v>
      </c>
      <c r="I94" s="4">
        <v>89.99</v>
      </c>
      <c r="J94" s="1" t="s">
        <v>20</v>
      </c>
      <c r="K94" s="1" t="s">
        <v>63</v>
      </c>
      <c r="L94" s="1" t="s">
        <v>27</v>
      </c>
      <c r="M94" s="3">
        <v>44972</v>
      </c>
      <c r="N94" s="4">
        <v>179.98</v>
      </c>
    </row>
    <row r="95" spans="1:14" ht="15.75" thickBot="1" x14ac:dyDescent="0.3">
      <c r="A95" s="1" t="s">
        <v>222</v>
      </c>
      <c r="B95" s="3">
        <v>45523</v>
      </c>
      <c r="C95" s="1" t="s">
        <v>196</v>
      </c>
      <c r="D95" s="1" t="s">
        <v>197</v>
      </c>
      <c r="E95" s="1" t="s">
        <v>61</v>
      </c>
      <c r="F95" s="1" t="s">
        <v>62</v>
      </c>
      <c r="G95" s="1" t="s">
        <v>19</v>
      </c>
      <c r="H95" s="4">
        <v>5</v>
      </c>
      <c r="I95" s="4">
        <v>899.99</v>
      </c>
      <c r="J95" s="1" t="s">
        <v>57</v>
      </c>
      <c r="K95" s="1" t="s">
        <v>63</v>
      </c>
      <c r="L95" s="1" t="s">
        <v>22</v>
      </c>
      <c r="M95" s="3">
        <v>44526</v>
      </c>
      <c r="N95" s="4">
        <v>4499.95</v>
      </c>
    </row>
    <row r="96" spans="1:14" ht="15.75" thickBot="1" x14ac:dyDescent="0.3">
      <c r="A96" s="1" t="s">
        <v>223</v>
      </c>
      <c r="B96" s="3">
        <v>45523</v>
      </c>
      <c r="C96" s="1" t="s">
        <v>108</v>
      </c>
      <c r="D96" s="1" t="s">
        <v>109</v>
      </c>
      <c r="E96" s="1" t="s">
        <v>52</v>
      </c>
      <c r="F96" s="1" t="s">
        <v>53</v>
      </c>
      <c r="G96" s="1" t="s">
        <v>19</v>
      </c>
      <c r="H96" s="4">
        <v>3</v>
      </c>
      <c r="I96" s="4">
        <v>149.99</v>
      </c>
      <c r="J96" s="1" t="s">
        <v>34</v>
      </c>
      <c r="K96" s="1" t="s">
        <v>63</v>
      </c>
      <c r="L96" s="1" t="s">
        <v>22</v>
      </c>
      <c r="M96" s="3">
        <v>44574</v>
      </c>
      <c r="N96" s="4">
        <v>449.97</v>
      </c>
    </row>
    <row r="97" spans="1:14" ht="15.75" thickBot="1" x14ac:dyDescent="0.3">
      <c r="A97" s="1" t="s">
        <v>224</v>
      </c>
      <c r="B97" s="3">
        <v>45526</v>
      </c>
      <c r="C97" s="1" t="s">
        <v>102</v>
      </c>
      <c r="D97" s="1" t="s">
        <v>103</v>
      </c>
      <c r="E97" s="1" t="s">
        <v>44</v>
      </c>
      <c r="F97" s="1" t="s">
        <v>45</v>
      </c>
      <c r="G97" s="1" t="s">
        <v>46</v>
      </c>
      <c r="H97" s="4">
        <v>5</v>
      </c>
      <c r="I97" s="4">
        <v>149.99</v>
      </c>
      <c r="J97" s="1" t="s">
        <v>26</v>
      </c>
      <c r="K97" s="1" t="s">
        <v>21</v>
      </c>
      <c r="L97" s="1" t="s">
        <v>22</v>
      </c>
      <c r="M97" s="3">
        <v>45310</v>
      </c>
      <c r="N97" s="4">
        <v>749.95</v>
      </c>
    </row>
    <row r="98" spans="1:14" ht="15.75" thickBot="1" x14ac:dyDescent="0.3">
      <c r="A98" s="1" t="s">
        <v>225</v>
      </c>
      <c r="B98" s="3">
        <v>45528</v>
      </c>
      <c r="C98" s="1" t="s">
        <v>226</v>
      </c>
      <c r="D98" s="1" t="s">
        <v>227</v>
      </c>
      <c r="E98" s="1" t="s">
        <v>114</v>
      </c>
      <c r="F98" s="1" t="s">
        <v>115</v>
      </c>
      <c r="G98" s="1" t="s">
        <v>33</v>
      </c>
      <c r="H98" s="4">
        <v>3</v>
      </c>
      <c r="I98" s="4">
        <v>79.989999999999995</v>
      </c>
      <c r="J98" s="1" t="s">
        <v>20</v>
      </c>
      <c r="K98" s="1" t="s">
        <v>21</v>
      </c>
      <c r="L98" s="1" t="s">
        <v>27</v>
      </c>
      <c r="M98" s="3">
        <v>44779</v>
      </c>
      <c r="N98" s="4">
        <v>239.97</v>
      </c>
    </row>
    <row r="99" spans="1:14" ht="15.75" thickBot="1" x14ac:dyDescent="0.3">
      <c r="A99" s="1" t="s">
        <v>228</v>
      </c>
      <c r="B99" s="3">
        <v>45528</v>
      </c>
      <c r="C99" s="1" t="s">
        <v>144</v>
      </c>
      <c r="D99" s="1" t="s">
        <v>145</v>
      </c>
      <c r="E99" s="1" t="s">
        <v>17</v>
      </c>
      <c r="F99" s="1" t="s">
        <v>18</v>
      </c>
      <c r="G99" s="1" t="s">
        <v>19</v>
      </c>
      <c r="H99" s="4">
        <v>2</v>
      </c>
      <c r="I99" s="4">
        <v>249.99</v>
      </c>
      <c r="J99" s="1" t="s">
        <v>20</v>
      </c>
      <c r="K99" s="1" t="s">
        <v>35</v>
      </c>
      <c r="L99" s="1" t="s">
        <v>36</v>
      </c>
      <c r="M99" s="3">
        <v>44572</v>
      </c>
      <c r="N99" s="4">
        <v>499.98</v>
      </c>
    </row>
    <row r="100" spans="1:14" ht="15.75" thickBot="1" x14ac:dyDescent="0.3">
      <c r="A100" s="1" t="s">
        <v>229</v>
      </c>
      <c r="B100" s="3">
        <v>45532</v>
      </c>
      <c r="C100" s="1" t="s">
        <v>196</v>
      </c>
      <c r="D100" s="1" t="s">
        <v>197</v>
      </c>
      <c r="E100" s="1" t="s">
        <v>80</v>
      </c>
      <c r="F100" s="1" t="s">
        <v>81</v>
      </c>
      <c r="G100" s="1" t="s">
        <v>19</v>
      </c>
      <c r="H100" s="4">
        <v>1</v>
      </c>
      <c r="I100" s="4">
        <v>699.99</v>
      </c>
      <c r="J100" s="1" t="s">
        <v>20</v>
      </c>
      <c r="K100" s="1" t="s">
        <v>21</v>
      </c>
      <c r="L100" s="1" t="s">
        <v>27</v>
      </c>
      <c r="M100" s="3">
        <v>44497</v>
      </c>
      <c r="N100" s="4">
        <v>699.99</v>
      </c>
    </row>
    <row r="101" spans="1:14" ht="15.75" thickBot="1" x14ac:dyDescent="0.3">
      <c r="A101" s="1" t="s">
        <v>230</v>
      </c>
      <c r="B101" s="3">
        <v>45532</v>
      </c>
      <c r="C101" s="1" t="s">
        <v>231</v>
      </c>
      <c r="D101" s="1" t="s">
        <v>232</v>
      </c>
      <c r="E101" s="1" t="s">
        <v>52</v>
      </c>
      <c r="F101" s="1" t="s">
        <v>53</v>
      </c>
      <c r="G101" s="1" t="s">
        <v>19</v>
      </c>
      <c r="H101" s="4">
        <v>3</v>
      </c>
      <c r="I101" s="4">
        <v>149.99</v>
      </c>
      <c r="J101" s="1" t="s">
        <v>20</v>
      </c>
      <c r="K101" s="1" t="s">
        <v>50</v>
      </c>
      <c r="L101" s="1" t="s">
        <v>27</v>
      </c>
      <c r="M101" s="3">
        <v>45212</v>
      </c>
      <c r="N101" s="4">
        <v>449.97</v>
      </c>
    </row>
    <row r="102" spans="1:14" ht="15.75" thickBot="1" x14ac:dyDescent="0.3">
      <c r="A102" s="1" t="s">
        <v>233</v>
      </c>
      <c r="B102" s="3">
        <v>45534</v>
      </c>
      <c r="C102" s="1" t="s">
        <v>234</v>
      </c>
      <c r="D102" s="1" t="s">
        <v>235</v>
      </c>
      <c r="E102" s="1" t="s">
        <v>80</v>
      </c>
      <c r="F102" s="1" t="s">
        <v>81</v>
      </c>
      <c r="G102" s="1" t="s">
        <v>19</v>
      </c>
      <c r="H102" s="4">
        <v>2</v>
      </c>
      <c r="I102" s="4">
        <v>699.99</v>
      </c>
      <c r="J102" s="1" t="s">
        <v>26</v>
      </c>
      <c r="K102" s="1" t="s">
        <v>40</v>
      </c>
      <c r="L102" s="1" t="s">
        <v>27</v>
      </c>
      <c r="M102" s="3">
        <v>44421</v>
      </c>
      <c r="N102" s="4">
        <v>1399.98</v>
      </c>
    </row>
    <row r="103" spans="1:14" ht="15.75" thickBot="1" x14ac:dyDescent="0.3">
      <c r="A103" s="1" t="s">
        <v>236</v>
      </c>
      <c r="B103" s="3">
        <v>45537</v>
      </c>
      <c r="C103" s="1" t="s">
        <v>231</v>
      </c>
      <c r="D103" s="1" t="s">
        <v>232</v>
      </c>
      <c r="E103" s="1" t="s">
        <v>17</v>
      </c>
      <c r="F103" s="1" t="s">
        <v>18</v>
      </c>
      <c r="G103" s="1" t="s">
        <v>19</v>
      </c>
      <c r="H103" s="4">
        <v>1</v>
      </c>
      <c r="I103" s="4">
        <v>249.99</v>
      </c>
      <c r="J103" s="1" t="s">
        <v>26</v>
      </c>
      <c r="K103" s="1" t="s">
        <v>50</v>
      </c>
      <c r="L103" s="1" t="s">
        <v>27</v>
      </c>
      <c r="M103" s="3">
        <v>44685</v>
      </c>
      <c r="N103" s="4">
        <v>249.99</v>
      </c>
    </row>
    <row r="104" spans="1:14" ht="15.75" thickBot="1" x14ac:dyDescent="0.3">
      <c r="A104" s="1" t="s">
        <v>237</v>
      </c>
      <c r="B104" s="3">
        <v>45537</v>
      </c>
      <c r="C104" s="1" t="s">
        <v>15</v>
      </c>
      <c r="D104" s="1" t="s">
        <v>16</v>
      </c>
      <c r="E104" s="1" t="s">
        <v>17</v>
      </c>
      <c r="F104" s="1" t="s">
        <v>18</v>
      </c>
      <c r="G104" s="1" t="s">
        <v>19</v>
      </c>
      <c r="H104" s="4">
        <v>1</v>
      </c>
      <c r="I104" s="4">
        <v>249.99</v>
      </c>
      <c r="J104" s="1" t="s">
        <v>57</v>
      </c>
      <c r="K104" s="1" t="s">
        <v>40</v>
      </c>
      <c r="L104" s="1" t="s">
        <v>27</v>
      </c>
      <c r="M104" s="3">
        <v>45332</v>
      </c>
      <c r="N104" s="4">
        <v>249.99</v>
      </c>
    </row>
    <row r="105" spans="1:14" ht="15.75" thickBot="1" x14ac:dyDescent="0.3">
      <c r="A105" s="1" t="s">
        <v>238</v>
      </c>
      <c r="B105" s="3">
        <v>45538</v>
      </c>
      <c r="C105" s="1" t="s">
        <v>226</v>
      </c>
      <c r="D105" s="1" t="s">
        <v>227</v>
      </c>
      <c r="E105" s="1" t="s">
        <v>80</v>
      </c>
      <c r="F105" s="1" t="s">
        <v>81</v>
      </c>
      <c r="G105" s="1" t="s">
        <v>19</v>
      </c>
      <c r="H105" s="4">
        <v>2</v>
      </c>
      <c r="I105" s="4">
        <v>699.99</v>
      </c>
      <c r="J105" s="1" t="s">
        <v>57</v>
      </c>
      <c r="K105" s="1" t="s">
        <v>21</v>
      </c>
      <c r="L105" s="1" t="s">
        <v>27</v>
      </c>
      <c r="M105" s="3">
        <v>44870</v>
      </c>
      <c r="N105" s="4">
        <v>1399.98</v>
      </c>
    </row>
    <row r="106" spans="1:14" ht="15.75" thickBot="1" x14ac:dyDescent="0.3">
      <c r="A106" s="1" t="s">
        <v>239</v>
      </c>
      <c r="B106" s="3">
        <v>45541</v>
      </c>
      <c r="C106" s="1" t="s">
        <v>138</v>
      </c>
      <c r="D106" s="1" t="s">
        <v>139</v>
      </c>
      <c r="E106" s="1" t="s">
        <v>31</v>
      </c>
      <c r="F106" s="1" t="s">
        <v>32</v>
      </c>
      <c r="G106" s="1" t="s">
        <v>33</v>
      </c>
      <c r="H106" s="4">
        <v>3</v>
      </c>
      <c r="I106" s="4">
        <v>59.99</v>
      </c>
      <c r="J106" s="1" t="s">
        <v>26</v>
      </c>
      <c r="K106" s="1" t="s">
        <v>21</v>
      </c>
      <c r="L106" s="1" t="s">
        <v>27</v>
      </c>
      <c r="M106" s="3">
        <v>44717</v>
      </c>
      <c r="N106" s="4">
        <v>179.97</v>
      </c>
    </row>
    <row r="107" spans="1:14" ht="15.75" thickBot="1" x14ac:dyDescent="0.3">
      <c r="A107" s="1" t="s">
        <v>240</v>
      </c>
      <c r="B107" s="3">
        <v>45544</v>
      </c>
      <c r="C107" s="1" t="s">
        <v>132</v>
      </c>
      <c r="D107" s="1" t="s">
        <v>133</v>
      </c>
      <c r="E107" s="1" t="s">
        <v>31</v>
      </c>
      <c r="F107" s="1" t="s">
        <v>32</v>
      </c>
      <c r="G107" s="1" t="s">
        <v>33</v>
      </c>
      <c r="H107" s="4">
        <v>3</v>
      </c>
      <c r="I107" s="4">
        <v>59.99</v>
      </c>
      <c r="J107" s="1" t="s">
        <v>34</v>
      </c>
      <c r="K107" s="1" t="s">
        <v>63</v>
      </c>
      <c r="L107" s="1" t="s">
        <v>36</v>
      </c>
      <c r="M107" s="3">
        <v>44748</v>
      </c>
      <c r="N107" s="4">
        <v>179.97</v>
      </c>
    </row>
    <row r="108" spans="1:14" ht="15.75" thickBot="1" x14ac:dyDescent="0.3">
      <c r="A108" s="1" t="s">
        <v>241</v>
      </c>
      <c r="B108" s="3">
        <v>45544</v>
      </c>
      <c r="C108" s="1" t="s">
        <v>141</v>
      </c>
      <c r="D108" s="1" t="s">
        <v>142</v>
      </c>
      <c r="E108" s="1" t="s">
        <v>114</v>
      </c>
      <c r="F108" s="1" t="s">
        <v>115</v>
      </c>
      <c r="G108" s="1" t="s">
        <v>33</v>
      </c>
      <c r="H108" s="4">
        <v>4</v>
      </c>
      <c r="I108" s="4">
        <v>79.989999999999995</v>
      </c>
      <c r="J108" s="1" t="s">
        <v>20</v>
      </c>
      <c r="K108" s="1" t="s">
        <v>40</v>
      </c>
      <c r="L108" s="1" t="s">
        <v>22</v>
      </c>
      <c r="M108" s="3">
        <v>44530</v>
      </c>
      <c r="N108" s="4">
        <v>319.95999999999998</v>
      </c>
    </row>
    <row r="109" spans="1:14" ht="15.75" thickBot="1" x14ac:dyDescent="0.3">
      <c r="A109" s="1" t="s">
        <v>242</v>
      </c>
      <c r="B109" s="3">
        <v>45545</v>
      </c>
      <c r="C109" s="1" t="s">
        <v>55</v>
      </c>
      <c r="D109" s="1" t="s">
        <v>56</v>
      </c>
      <c r="E109" s="1" t="s">
        <v>114</v>
      </c>
      <c r="F109" s="1" t="s">
        <v>115</v>
      </c>
      <c r="G109" s="1" t="s">
        <v>33</v>
      </c>
      <c r="H109" s="4">
        <v>1</v>
      </c>
      <c r="I109" s="4">
        <v>79.989999999999995</v>
      </c>
      <c r="J109" s="1" t="s">
        <v>20</v>
      </c>
      <c r="K109" s="1" t="s">
        <v>50</v>
      </c>
      <c r="L109" s="1" t="s">
        <v>22</v>
      </c>
      <c r="M109" s="3">
        <v>44693</v>
      </c>
      <c r="N109" s="4">
        <v>79.989999999999995</v>
      </c>
    </row>
    <row r="110" spans="1:14" ht="15.75" thickBot="1" x14ac:dyDescent="0.3">
      <c r="A110" s="1" t="s">
        <v>243</v>
      </c>
      <c r="B110" s="3">
        <v>45547</v>
      </c>
      <c r="C110" s="1" t="s">
        <v>48</v>
      </c>
      <c r="D110" s="1" t="s">
        <v>49</v>
      </c>
      <c r="E110" s="1" t="s">
        <v>105</v>
      </c>
      <c r="F110" s="1" t="s">
        <v>106</v>
      </c>
      <c r="G110" s="1" t="s">
        <v>46</v>
      </c>
      <c r="H110" s="4">
        <v>3</v>
      </c>
      <c r="I110" s="4">
        <v>299.99</v>
      </c>
      <c r="J110" s="1" t="s">
        <v>26</v>
      </c>
      <c r="K110" s="1" t="s">
        <v>21</v>
      </c>
      <c r="L110" s="1" t="s">
        <v>27</v>
      </c>
      <c r="M110" s="3">
        <v>44494</v>
      </c>
      <c r="N110" s="4">
        <v>899.97</v>
      </c>
    </row>
    <row r="111" spans="1:14" ht="15.75" thickBot="1" x14ac:dyDescent="0.3">
      <c r="A111" s="1" t="s">
        <v>244</v>
      </c>
      <c r="B111" s="3">
        <v>45548</v>
      </c>
      <c r="C111" s="1" t="s">
        <v>38</v>
      </c>
      <c r="D111" s="1" t="s">
        <v>39</v>
      </c>
      <c r="E111" s="1" t="s">
        <v>117</v>
      </c>
      <c r="F111" s="1" t="s">
        <v>118</v>
      </c>
      <c r="G111" s="1" t="s">
        <v>19</v>
      </c>
      <c r="H111" s="4">
        <v>2</v>
      </c>
      <c r="I111" s="4">
        <v>89.99</v>
      </c>
      <c r="J111" s="1" t="s">
        <v>26</v>
      </c>
      <c r="K111" s="1" t="s">
        <v>35</v>
      </c>
      <c r="L111" s="1" t="s">
        <v>27</v>
      </c>
      <c r="M111" s="3">
        <v>44641</v>
      </c>
      <c r="N111" s="4">
        <v>179.98</v>
      </c>
    </row>
    <row r="112" spans="1:14" ht="15.75" thickBot="1" x14ac:dyDescent="0.3">
      <c r="A112" s="1" t="s">
        <v>245</v>
      </c>
      <c r="B112" s="3">
        <v>45550</v>
      </c>
      <c r="C112" s="1" t="s">
        <v>246</v>
      </c>
      <c r="D112" s="1" t="s">
        <v>247</v>
      </c>
      <c r="E112" s="1" t="s">
        <v>52</v>
      </c>
      <c r="F112" s="1" t="s">
        <v>53</v>
      </c>
      <c r="G112" s="1" t="s">
        <v>19</v>
      </c>
      <c r="H112" s="4">
        <v>4</v>
      </c>
      <c r="I112" s="4">
        <v>149.99</v>
      </c>
      <c r="J112" s="1" t="s">
        <v>20</v>
      </c>
      <c r="K112" s="1" t="s">
        <v>40</v>
      </c>
      <c r="L112" s="1" t="s">
        <v>22</v>
      </c>
      <c r="M112" s="3">
        <v>44909</v>
      </c>
      <c r="N112" s="4">
        <v>599.96</v>
      </c>
    </row>
    <row r="113" spans="1:14" ht="15.75" thickBot="1" x14ac:dyDescent="0.3">
      <c r="A113" s="1" t="s">
        <v>248</v>
      </c>
      <c r="B113" s="3">
        <v>45551</v>
      </c>
      <c r="C113" s="1" t="s">
        <v>65</v>
      </c>
      <c r="D113" s="1" t="s">
        <v>66</v>
      </c>
      <c r="E113" s="1" t="s">
        <v>17</v>
      </c>
      <c r="F113" s="1" t="s">
        <v>18</v>
      </c>
      <c r="G113" s="1" t="s">
        <v>19</v>
      </c>
      <c r="H113" s="4">
        <v>2</v>
      </c>
      <c r="I113" s="4">
        <v>249.99</v>
      </c>
      <c r="J113" s="1" t="s">
        <v>34</v>
      </c>
      <c r="K113" s="1" t="s">
        <v>35</v>
      </c>
      <c r="L113" s="1" t="s">
        <v>22</v>
      </c>
      <c r="M113" s="3">
        <v>44993</v>
      </c>
      <c r="N113" s="4">
        <v>499.98</v>
      </c>
    </row>
    <row r="114" spans="1:14" ht="15.75" thickBot="1" x14ac:dyDescent="0.3">
      <c r="A114" s="1" t="s">
        <v>249</v>
      </c>
      <c r="B114" s="3">
        <v>45551</v>
      </c>
      <c r="C114" s="1" t="s">
        <v>154</v>
      </c>
      <c r="D114" s="1" t="s">
        <v>155</v>
      </c>
      <c r="E114" s="1" t="s">
        <v>126</v>
      </c>
      <c r="F114" s="1" t="s">
        <v>127</v>
      </c>
      <c r="G114" s="1" t="s">
        <v>46</v>
      </c>
      <c r="H114" s="4">
        <v>4</v>
      </c>
      <c r="I114" s="4">
        <v>199.99</v>
      </c>
      <c r="J114" s="1" t="s">
        <v>57</v>
      </c>
      <c r="K114" s="1" t="s">
        <v>63</v>
      </c>
      <c r="L114" s="1" t="s">
        <v>22</v>
      </c>
      <c r="M114" s="3">
        <v>44458</v>
      </c>
      <c r="N114" s="4">
        <v>799.96</v>
      </c>
    </row>
    <row r="115" spans="1:14" ht="15.75" thickBot="1" x14ac:dyDescent="0.3">
      <c r="A115" s="1" t="s">
        <v>250</v>
      </c>
      <c r="B115" s="3">
        <v>45554</v>
      </c>
      <c r="C115" s="1" t="s">
        <v>147</v>
      </c>
      <c r="D115" s="1" t="s">
        <v>148</v>
      </c>
      <c r="E115" s="1" t="s">
        <v>117</v>
      </c>
      <c r="F115" s="1" t="s">
        <v>118</v>
      </c>
      <c r="G115" s="1" t="s">
        <v>19</v>
      </c>
      <c r="H115" s="4">
        <v>5</v>
      </c>
      <c r="I115" s="4">
        <v>89.99</v>
      </c>
      <c r="J115" s="1" t="s">
        <v>26</v>
      </c>
      <c r="K115" s="1" t="s">
        <v>63</v>
      </c>
      <c r="L115" s="1" t="s">
        <v>27</v>
      </c>
      <c r="M115" s="3">
        <v>44446</v>
      </c>
      <c r="N115" s="4">
        <v>449.95</v>
      </c>
    </row>
    <row r="116" spans="1:14" ht="15.75" thickBot="1" x14ac:dyDescent="0.3">
      <c r="A116" s="1" t="s">
        <v>251</v>
      </c>
      <c r="B116" s="3">
        <v>45554</v>
      </c>
      <c r="C116" s="1" t="s">
        <v>252</v>
      </c>
      <c r="D116" s="1" t="s">
        <v>253</v>
      </c>
      <c r="E116" s="1" t="s">
        <v>52</v>
      </c>
      <c r="F116" s="1" t="s">
        <v>53</v>
      </c>
      <c r="G116" s="1" t="s">
        <v>19</v>
      </c>
      <c r="H116" s="4">
        <v>1</v>
      </c>
      <c r="I116" s="4">
        <v>149.99</v>
      </c>
      <c r="J116" s="1" t="s">
        <v>34</v>
      </c>
      <c r="K116" s="1" t="s">
        <v>63</v>
      </c>
      <c r="L116" s="1" t="s">
        <v>36</v>
      </c>
      <c r="M116" s="3">
        <v>44482</v>
      </c>
      <c r="N116" s="4">
        <v>149.99</v>
      </c>
    </row>
    <row r="117" spans="1:14" ht="15.75" thickBot="1" x14ac:dyDescent="0.3">
      <c r="A117" s="1" t="s">
        <v>254</v>
      </c>
      <c r="B117" s="3">
        <v>45554</v>
      </c>
      <c r="C117" s="1" t="s">
        <v>72</v>
      </c>
      <c r="D117" s="1" t="s">
        <v>73</v>
      </c>
      <c r="E117" s="1" t="s">
        <v>80</v>
      </c>
      <c r="F117" s="1" t="s">
        <v>81</v>
      </c>
      <c r="G117" s="1" t="s">
        <v>19</v>
      </c>
      <c r="H117" s="4">
        <v>4</v>
      </c>
      <c r="I117" s="4">
        <v>699.99</v>
      </c>
      <c r="J117" s="1" t="s">
        <v>34</v>
      </c>
      <c r="K117" s="1" t="s">
        <v>35</v>
      </c>
      <c r="L117" s="1" t="s">
        <v>22</v>
      </c>
      <c r="M117" s="3">
        <v>44618</v>
      </c>
      <c r="N117" s="4">
        <v>2799.96</v>
      </c>
    </row>
    <row r="118" spans="1:14" ht="15.75" thickBot="1" x14ac:dyDescent="0.3">
      <c r="A118" s="1" t="s">
        <v>255</v>
      </c>
      <c r="B118" s="3">
        <v>45559</v>
      </c>
      <c r="C118" s="1" t="s">
        <v>234</v>
      </c>
      <c r="D118" s="1" t="s">
        <v>235</v>
      </c>
      <c r="E118" s="1" t="s">
        <v>61</v>
      </c>
      <c r="F118" s="1" t="s">
        <v>62</v>
      </c>
      <c r="G118" s="1" t="s">
        <v>19</v>
      </c>
      <c r="H118" s="4">
        <v>3</v>
      </c>
      <c r="I118" s="4">
        <v>899.99</v>
      </c>
      <c r="J118" s="1" t="s">
        <v>26</v>
      </c>
      <c r="K118" s="1" t="s">
        <v>40</v>
      </c>
      <c r="L118" s="1" t="s">
        <v>36</v>
      </c>
      <c r="M118" s="3">
        <v>45157</v>
      </c>
      <c r="N118" s="4">
        <v>2699.97</v>
      </c>
    </row>
    <row r="119" spans="1:14" ht="15.75" thickBot="1" x14ac:dyDescent="0.3">
      <c r="A119" s="1" t="s">
        <v>256</v>
      </c>
      <c r="B119" s="3">
        <v>45560</v>
      </c>
      <c r="C119" s="1" t="s">
        <v>112</v>
      </c>
      <c r="D119" s="1" t="s">
        <v>113</v>
      </c>
      <c r="E119" s="1" t="s">
        <v>44</v>
      </c>
      <c r="F119" s="1" t="s">
        <v>45</v>
      </c>
      <c r="G119" s="1" t="s">
        <v>46</v>
      </c>
      <c r="H119" s="4">
        <v>3</v>
      </c>
      <c r="I119" s="4">
        <v>149.99</v>
      </c>
      <c r="J119" s="1" t="s">
        <v>34</v>
      </c>
      <c r="K119" s="1" t="s">
        <v>63</v>
      </c>
      <c r="L119" s="1" t="s">
        <v>22</v>
      </c>
      <c r="M119" s="3">
        <v>44886</v>
      </c>
      <c r="N119" s="4">
        <v>449.97</v>
      </c>
    </row>
    <row r="120" spans="1:14" ht="15.75" thickBot="1" x14ac:dyDescent="0.3">
      <c r="A120" s="1" t="s">
        <v>257</v>
      </c>
      <c r="B120" s="3">
        <v>45563</v>
      </c>
      <c r="C120" s="1" t="s">
        <v>99</v>
      </c>
      <c r="D120" s="1" t="s">
        <v>100</v>
      </c>
      <c r="E120" s="1" t="s">
        <v>105</v>
      </c>
      <c r="F120" s="1" t="s">
        <v>106</v>
      </c>
      <c r="G120" s="1" t="s">
        <v>46</v>
      </c>
      <c r="H120" s="4">
        <v>2</v>
      </c>
      <c r="I120" s="4">
        <v>299.99</v>
      </c>
      <c r="J120" s="1" t="s">
        <v>57</v>
      </c>
      <c r="K120" s="1" t="s">
        <v>21</v>
      </c>
      <c r="L120" s="1" t="s">
        <v>22</v>
      </c>
      <c r="M120" s="3">
        <v>44569</v>
      </c>
      <c r="N120" s="4">
        <v>599.98</v>
      </c>
    </row>
    <row r="121" spans="1:14" ht="15.75" thickBot="1" x14ac:dyDescent="0.3">
      <c r="A121" s="1" t="s">
        <v>258</v>
      </c>
      <c r="B121" s="3">
        <v>45564</v>
      </c>
      <c r="C121" s="1" t="s">
        <v>259</v>
      </c>
      <c r="D121" s="1" t="s">
        <v>260</v>
      </c>
      <c r="E121" s="1" t="s">
        <v>126</v>
      </c>
      <c r="F121" s="1" t="s">
        <v>127</v>
      </c>
      <c r="G121" s="1" t="s">
        <v>46</v>
      </c>
      <c r="H121" s="4">
        <v>1</v>
      </c>
      <c r="I121" s="4">
        <v>199.99</v>
      </c>
      <c r="J121" s="1" t="s">
        <v>57</v>
      </c>
      <c r="K121" s="1" t="s">
        <v>63</v>
      </c>
      <c r="L121" s="1" t="s">
        <v>36</v>
      </c>
      <c r="M121" s="3">
        <v>44953</v>
      </c>
      <c r="N121" s="4">
        <v>199.99</v>
      </c>
    </row>
    <row r="122" spans="1:14" ht="15.75" thickBot="1" x14ac:dyDescent="0.3">
      <c r="A122" s="1" t="s">
        <v>261</v>
      </c>
      <c r="B122" s="3">
        <v>45566</v>
      </c>
      <c r="C122" s="1" t="s">
        <v>42</v>
      </c>
      <c r="D122" s="1" t="s">
        <v>43</v>
      </c>
      <c r="E122" s="1" t="s">
        <v>105</v>
      </c>
      <c r="F122" s="1" t="s">
        <v>106</v>
      </c>
      <c r="G122" s="1" t="s">
        <v>46</v>
      </c>
      <c r="H122" s="4">
        <v>4</v>
      </c>
      <c r="I122" s="4">
        <v>299.99</v>
      </c>
      <c r="J122" s="1" t="s">
        <v>20</v>
      </c>
      <c r="K122" s="1" t="s">
        <v>21</v>
      </c>
      <c r="L122" s="1" t="s">
        <v>27</v>
      </c>
      <c r="M122" s="3">
        <v>44460</v>
      </c>
      <c r="N122" s="4">
        <v>1199.96</v>
      </c>
    </row>
    <row r="123" spans="1:14" ht="15.75" thickBot="1" x14ac:dyDescent="0.3">
      <c r="A123" s="1" t="s">
        <v>262</v>
      </c>
      <c r="B123" s="3">
        <v>45572</v>
      </c>
      <c r="C123" s="1" t="s">
        <v>89</v>
      </c>
      <c r="D123" s="1" t="s">
        <v>90</v>
      </c>
      <c r="E123" s="1" t="s">
        <v>31</v>
      </c>
      <c r="F123" s="1" t="s">
        <v>32</v>
      </c>
      <c r="G123" s="1" t="s">
        <v>33</v>
      </c>
      <c r="H123" s="4">
        <v>2</v>
      </c>
      <c r="I123" s="4">
        <v>59.99</v>
      </c>
      <c r="J123" s="1" t="s">
        <v>26</v>
      </c>
      <c r="K123" s="1" t="s">
        <v>21</v>
      </c>
      <c r="L123" s="1" t="s">
        <v>22</v>
      </c>
      <c r="M123" s="3">
        <v>44579</v>
      </c>
      <c r="N123" s="4">
        <v>119.98</v>
      </c>
    </row>
    <row r="124" spans="1:14" ht="15.75" thickBot="1" x14ac:dyDescent="0.3">
      <c r="A124" s="1" t="s">
        <v>263</v>
      </c>
      <c r="B124" s="3">
        <v>45572</v>
      </c>
      <c r="C124" s="1" t="s">
        <v>234</v>
      </c>
      <c r="D124" s="1" t="s">
        <v>235</v>
      </c>
      <c r="E124" s="1" t="s">
        <v>52</v>
      </c>
      <c r="F124" s="1" t="s">
        <v>53</v>
      </c>
      <c r="G124" s="1" t="s">
        <v>19</v>
      </c>
      <c r="H124" s="4">
        <v>4</v>
      </c>
      <c r="I124" s="4">
        <v>149.99</v>
      </c>
      <c r="J124" s="1" t="s">
        <v>26</v>
      </c>
      <c r="K124" s="1" t="s">
        <v>40</v>
      </c>
      <c r="L124" s="1" t="s">
        <v>27</v>
      </c>
      <c r="M124" s="3">
        <v>45076</v>
      </c>
      <c r="N124" s="4">
        <v>599.96</v>
      </c>
    </row>
    <row r="125" spans="1:14" ht="15.75" thickBot="1" x14ac:dyDescent="0.3">
      <c r="A125" s="1" t="s">
        <v>264</v>
      </c>
      <c r="B125" s="3">
        <v>45573</v>
      </c>
      <c r="C125" s="1" t="s">
        <v>211</v>
      </c>
      <c r="D125" s="1" t="s">
        <v>212</v>
      </c>
      <c r="E125" s="1" t="s">
        <v>80</v>
      </c>
      <c r="F125" s="1" t="s">
        <v>81</v>
      </c>
      <c r="G125" s="1" t="s">
        <v>19</v>
      </c>
      <c r="H125" s="4">
        <v>2</v>
      </c>
      <c r="I125" s="4">
        <v>699.99</v>
      </c>
      <c r="J125" s="1" t="s">
        <v>57</v>
      </c>
      <c r="K125" s="1" t="s">
        <v>63</v>
      </c>
      <c r="L125" s="1" t="s">
        <v>27</v>
      </c>
      <c r="M125" s="3">
        <v>45274</v>
      </c>
      <c r="N125" s="4">
        <v>1399.98</v>
      </c>
    </row>
    <row r="126" spans="1:14" ht="15.75" thickBot="1" x14ac:dyDescent="0.3">
      <c r="A126" s="1" t="s">
        <v>265</v>
      </c>
      <c r="B126" s="3">
        <v>45573</v>
      </c>
      <c r="C126" s="1" t="s">
        <v>231</v>
      </c>
      <c r="D126" s="1" t="s">
        <v>232</v>
      </c>
      <c r="E126" s="1" t="s">
        <v>44</v>
      </c>
      <c r="F126" s="1" t="s">
        <v>45</v>
      </c>
      <c r="G126" s="1" t="s">
        <v>46</v>
      </c>
      <c r="H126" s="4">
        <v>3</v>
      </c>
      <c r="I126" s="4">
        <v>149.99</v>
      </c>
      <c r="J126" s="1" t="s">
        <v>26</v>
      </c>
      <c r="K126" s="1" t="s">
        <v>35</v>
      </c>
      <c r="L126" s="1" t="s">
        <v>36</v>
      </c>
      <c r="M126" s="3">
        <v>44940</v>
      </c>
      <c r="N126" s="4">
        <v>449.97</v>
      </c>
    </row>
    <row r="127" spans="1:14" ht="15.75" thickBot="1" x14ac:dyDescent="0.3">
      <c r="A127" s="1" t="s">
        <v>266</v>
      </c>
      <c r="B127" s="3">
        <v>45576</v>
      </c>
      <c r="C127" s="1" t="s">
        <v>147</v>
      </c>
      <c r="D127" s="1" t="s">
        <v>148</v>
      </c>
      <c r="E127" s="1" t="s">
        <v>105</v>
      </c>
      <c r="F127" s="1" t="s">
        <v>106</v>
      </c>
      <c r="G127" s="1" t="s">
        <v>46</v>
      </c>
      <c r="H127" s="4">
        <v>3</v>
      </c>
      <c r="I127" s="4">
        <v>299.99</v>
      </c>
      <c r="J127" s="1" t="s">
        <v>26</v>
      </c>
      <c r="K127" s="1" t="s">
        <v>21</v>
      </c>
      <c r="L127" s="1" t="s">
        <v>36</v>
      </c>
      <c r="M127" s="3">
        <v>45174</v>
      </c>
      <c r="N127" s="4">
        <v>899.97</v>
      </c>
    </row>
    <row r="128" spans="1:14" ht="15.75" thickBot="1" x14ac:dyDescent="0.3">
      <c r="A128" s="1" t="s">
        <v>267</v>
      </c>
      <c r="B128" s="3">
        <v>45579</v>
      </c>
      <c r="C128" s="1" t="s">
        <v>83</v>
      </c>
      <c r="D128" s="1" t="s">
        <v>84</v>
      </c>
      <c r="E128" s="1" t="s">
        <v>61</v>
      </c>
      <c r="F128" s="1" t="s">
        <v>62</v>
      </c>
      <c r="G128" s="1" t="s">
        <v>19</v>
      </c>
      <c r="H128" s="4">
        <v>3</v>
      </c>
      <c r="I128" s="4">
        <v>899.99</v>
      </c>
      <c r="J128" s="1" t="s">
        <v>34</v>
      </c>
      <c r="K128" s="1" t="s">
        <v>50</v>
      </c>
      <c r="L128" s="1" t="s">
        <v>22</v>
      </c>
      <c r="M128" s="3">
        <v>45215</v>
      </c>
      <c r="N128" s="4">
        <v>2699.97</v>
      </c>
    </row>
    <row r="129" spans="1:14" ht="15.75" thickBot="1" x14ac:dyDescent="0.3">
      <c r="A129" s="1" t="s">
        <v>268</v>
      </c>
      <c r="B129" s="3">
        <v>45581</v>
      </c>
      <c r="C129" s="1" t="s">
        <v>96</v>
      </c>
      <c r="D129" s="1" t="s">
        <v>97</v>
      </c>
      <c r="E129" s="1" t="s">
        <v>80</v>
      </c>
      <c r="F129" s="1" t="s">
        <v>81</v>
      </c>
      <c r="G129" s="1" t="s">
        <v>19</v>
      </c>
      <c r="H129" s="4">
        <v>5</v>
      </c>
      <c r="I129" s="4">
        <v>699.99</v>
      </c>
      <c r="J129" s="1" t="s">
        <v>20</v>
      </c>
      <c r="K129" s="1" t="s">
        <v>63</v>
      </c>
      <c r="L129" s="1" t="s">
        <v>36</v>
      </c>
      <c r="M129" s="3">
        <v>45008</v>
      </c>
      <c r="N129" s="4">
        <v>3499.95</v>
      </c>
    </row>
    <row r="130" spans="1:14" ht="15.75" thickBot="1" x14ac:dyDescent="0.3">
      <c r="A130" s="1" t="s">
        <v>269</v>
      </c>
      <c r="B130" s="3">
        <v>45581</v>
      </c>
      <c r="C130" s="1" t="s">
        <v>171</v>
      </c>
      <c r="D130" s="1" t="s">
        <v>172</v>
      </c>
      <c r="E130" s="1" t="s">
        <v>80</v>
      </c>
      <c r="F130" s="1" t="s">
        <v>81</v>
      </c>
      <c r="G130" s="1" t="s">
        <v>19</v>
      </c>
      <c r="H130" s="4">
        <v>4</v>
      </c>
      <c r="I130" s="4">
        <v>699.99</v>
      </c>
      <c r="J130" s="1" t="s">
        <v>26</v>
      </c>
      <c r="K130" s="1" t="s">
        <v>21</v>
      </c>
      <c r="L130" s="1" t="s">
        <v>22</v>
      </c>
      <c r="M130" s="3">
        <v>45385</v>
      </c>
      <c r="N130" s="4">
        <v>2799.96</v>
      </c>
    </row>
    <row r="131" spans="1:14" ht="15.75" thickBot="1" x14ac:dyDescent="0.3">
      <c r="A131" s="1" t="s">
        <v>270</v>
      </c>
      <c r="B131" s="3">
        <v>45581</v>
      </c>
      <c r="C131" s="1" t="s">
        <v>150</v>
      </c>
      <c r="D131" s="1" t="s">
        <v>151</v>
      </c>
      <c r="E131" s="1" t="s">
        <v>61</v>
      </c>
      <c r="F131" s="1" t="s">
        <v>62</v>
      </c>
      <c r="G131" s="1" t="s">
        <v>19</v>
      </c>
      <c r="H131" s="4">
        <v>1</v>
      </c>
      <c r="I131" s="4">
        <v>899.99</v>
      </c>
      <c r="J131" s="1" t="s">
        <v>26</v>
      </c>
      <c r="K131" s="1" t="s">
        <v>63</v>
      </c>
      <c r="L131" s="1" t="s">
        <v>36</v>
      </c>
      <c r="M131" s="3">
        <v>45369</v>
      </c>
      <c r="N131" s="4">
        <v>899.99</v>
      </c>
    </row>
    <row r="132" spans="1:14" ht="15.75" thickBot="1" x14ac:dyDescent="0.3">
      <c r="A132" s="1" t="s">
        <v>271</v>
      </c>
      <c r="B132" s="3">
        <v>45583</v>
      </c>
      <c r="C132" s="1" t="s">
        <v>226</v>
      </c>
      <c r="D132" s="1" t="s">
        <v>227</v>
      </c>
      <c r="E132" s="1" t="s">
        <v>52</v>
      </c>
      <c r="F132" s="1" t="s">
        <v>53</v>
      </c>
      <c r="G132" s="1" t="s">
        <v>19</v>
      </c>
      <c r="H132" s="4">
        <v>2</v>
      </c>
      <c r="I132" s="4">
        <v>149.99</v>
      </c>
      <c r="J132" s="1" t="s">
        <v>26</v>
      </c>
      <c r="K132" s="1" t="s">
        <v>50</v>
      </c>
      <c r="L132" s="1" t="s">
        <v>22</v>
      </c>
      <c r="M132" s="3">
        <v>44916</v>
      </c>
      <c r="N132" s="4">
        <v>299.98</v>
      </c>
    </row>
    <row r="133" spans="1:14" ht="15.75" thickBot="1" x14ac:dyDescent="0.3">
      <c r="A133" s="1" t="s">
        <v>272</v>
      </c>
      <c r="B133" s="3">
        <v>45586</v>
      </c>
      <c r="C133" s="1" t="s">
        <v>226</v>
      </c>
      <c r="D133" s="1" t="s">
        <v>227</v>
      </c>
      <c r="E133" s="1" t="s">
        <v>117</v>
      </c>
      <c r="F133" s="1" t="s">
        <v>118</v>
      </c>
      <c r="G133" s="1" t="s">
        <v>19</v>
      </c>
      <c r="H133" s="4">
        <v>3</v>
      </c>
      <c r="I133" s="4">
        <v>89.99</v>
      </c>
      <c r="J133" s="1" t="s">
        <v>34</v>
      </c>
      <c r="K133" s="1" t="s">
        <v>21</v>
      </c>
      <c r="L133" s="1" t="s">
        <v>22</v>
      </c>
      <c r="M133" s="3">
        <v>44551</v>
      </c>
      <c r="N133" s="4">
        <v>269.97000000000003</v>
      </c>
    </row>
    <row r="134" spans="1:14" ht="15.75" thickBot="1" x14ac:dyDescent="0.3">
      <c r="A134" s="1" t="s">
        <v>273</v>
      </c>
      <c r="B134" s="3">
        <v>45588</v>
      </c>
      <c r="C134" s="1" t="s">
        <v>38</v>
      </c>
      <c r="D134" s="1" t="s">
        <v>39</v>
      </c>
      <c r="E134" s="1" t="s">
        <v>52</v>
      </c>
      <c r="F134" s="1" t="s">
        <v>53</v>
      </c>
      <c r="G134" s="1" t="s">
        <v>19</v>
      </c>
      <c r="H134" s="4">
        <v>2</v>
      </c>
      <c r="I134" s="4">
        <v>149.99</v>
      </c>
      <c r="J134" s="1" t="s">
        <v>34</v>
      </c>
      <c r="K134" s="1" t="s">
        <v>21</v>
      </c>
      <c r="L134" s="1" t="s">
        <v>22</v>
      </c>
      <c r="M134" s="3">
        <v>44473</v>
      </c>
      <c r="N134" s="4">
        <v>299.98</v>
      </c>
    </row>
    <row r="135" spans="1:14" ht="15.75" thickBot="1" x14ac:dyDescent="0.3">
      <c r="A135" s="1" t="s">
        <v>274</v>
      </c>
      <c r="B135" s="3">
        <v>45588</v>
      </c>
      <c r="C135" s="1" t="s">
        <v>154</v>
      </c>
      <c r="D135" s="1" t="s">
        <v>155</v>
      </c>
      <c r="E135" s="1" t="s">
        <v>80</v>
      </c>
      <c r="F135" s="1" t="s">
        <v>81</v>
      </c>
      <c r="G135" s="1" t="s">
        <v>19</v>
      </c>
      <c r="H135" s="4">
        <v>2</v>
      </c>
      <c r="I135" s="4">
        <v>699.99</v>
      </c>
      <c r="J135" s="1" t="s">
        <v>20</v>
      </c>
      <c r="K135" s="1" t="s">
        <v>21</v>
      </c>
      <c r="L135" s="1" t="s">
        <v>22</v>
      </c>
      <c r="M135" s="3">
        <v>44992</v>
      </c>
      <c r="N135" s="4">
        <v>1399.98</v>
      </c>
    </row>
    <row r="136" spans="1:14" ht="15.75" thickBot="1" x14ac:dyDescent="0.3">
      <c r="A136" s="1" t="s">
        <v>275</v>
      </c>
      <c r="B136" s="3">
        <v>45589</v>
      </c>
      <c r="C136" s="1" t="s">
        <v>158</v>
      </c>
      <c r="D136" s="1" t="s">
        <v>159</v>
      </c>
      <c r="E136" s="1" t="s">
        <v>80</v>
      </c>
      <c r="F136" s="1" t="s">
        <v>81</v>
      </c>
      <c r="G136" s="1" t="s">
        <v>19</v>
      </c>
      <c r="H136" s="4">
        <v>5</v>
      </c>
      <c r="I136" s="4">
        <v>699.99</v>
      </c>
      <c r="J136" s="1" t="s">
        <v>20</v>
      </c>
      <c r="K136" s="1" t="s">
        <v>40</v>
      </c>
      <c r="L136" s="1" t="s">
        <v>27</v>
      </c>
      <c r="M136" s="3">
        <v>44635</v>
      </c>
      <c r="N136" s="4">
        <v>3499.95</v>
      </c>
    </row>
    <row r="137" spans="1:14" ht="15.75" thickBot="1" x14ac:dyDescent="0.3">
      <c r="A137" s="1" t="s">
        <v>276</v>
      </c>
      <c r="B137" s="3">
        <v>45592</v>
      </c>
      <c r="C137" s="1" t="s">
        <v>171</v>
      </c>
      <c r="D137" s="1" t="s">
        <v>172</v>
      </c>
      <c r="E137" s="1" t="s">
        <v>117</v>
      </c>
      <c r="F137" s="1" t="s">
        <v>118</v>
      </c>
      <c r="G137" s="1" t="s">
        <v>19</v>
      </c>
      <c r="H137" s="4">
        <v>3</v>
      </c>
      <c r="I137" s="4">
        <v>89.99</v>
      </c>
      <c r="J137" s="1" t="s">
        <v>26</v>
      </c>
      <c r="K137" s="1" t="s">
        <v>40</v>
      </c>
      <c r="L137" s="1" t="s">
        <v>36</v>
      </c>
      <c r="M137" s="3">
        <v>44615</v>
      </c>
      <c r="N137" s="4">
        <v>269.97000000000003</v>
      </c>
    </row>
    <row r="138" spans="1:14" ht="15.75" thickBot="1" x14ac:dyDescent="0.3">
      <c r="A138" s="1" t="s">
        <v>277</v>
      </c>
      <c r="B138" s="3">
        <v>45597</v>
      </c>
      <c r="C138" s="1" t="s">
        <v>15</v>
      </c>
      <c r="D138" s="1" t="s">
        <v>16</v>
      </c>
      <c r="E138" s="1" t="s">
        <v>17</v>
      </c>
      <c r="F138" s="1" t="s">
        <v>18</v>
      </c>
      <c r="G138" s="1" t="s">
        <v>19</v>
      </c>
      <c r="H138" s="4">
        <v>5</v>
      </c>
      <c r="I138" s="4">
        <v>249.99</v>
      </c>
      <c r="J138" s="1" t="s">
        <v>26</v>
      </c>
      <c r="K138" s="1" t="s">
        <v>35</v>
      </c>
      <c r="L138" s="1" t="s">
        <v>36</v>
      </c>
      <c r="M138" s="3">
        <v>44881</v>
      </c>
      <c r="N138" s="4">
        <v>1249.95</v>
      </c>
    </row>
    <row r="139" spans="1:14" ht="15.75" thickBot="1" x14ac:dyDescent="0.3">
      <c r="A139" s="1" t="s">
        <v>278</v>
      </c>
      <c r="B139" s="3">
        <v>45600</v>
      </c>
      <c r="C139" s="1" t="s">
        <v>65</v>
      </c>
      <c r="D139" s="1" t="s">
        <v>66</v>
      </c>
      <c r="E139" s="1" t="s">
        <v>105</v>
      </c>
      <c r="F139" s="1" t="s">
        <v>106</v>
      </c>
      <c r="G139" s="1" t="s">
        <v>46</v>
      </c>
      <c r="H139" s="4">
        <v>3</v>
      </c>
      <c r="I139" s="4">
        <v>299.99</v>
      </c>
      <c r="J139" s="1" t="s">
        <v>26</v>
      </c>
      <c r="K139" s="1" t="s">
        <v>35</v>
      </c>
      <c r="L139" s="1" t="s">
        <v>36</v>
      </c>
      <c r="M139" s="3">
        <v>44502</v>
      </c>
      <c r="N139" s="4">
        <v>899.97</v>
      </c>
    </row>
    <row r="140" spans="1:14" ht="15.75" thickBot="1" x14ac:dyDescent="0.3">
      <c r="A140" s="1" t="s">
        <v>279</v>
      </c>
      <c r="B140" s="3">
        <v>45603</v>
      </c>
      <c r="C140" s="1" t="s">
        <v>99</v>
      </c>
      <c r="D140" s="1" t="s">
        <v>100</v>
      </c>
      <c r="E140" s="1" t="s">
        <v>117</v>
      </c>
      <c r="F140" s="1" t="s">
        <v>118</v>
      </c>
      <c r="G140" s="1" t="s">
        <v>19</v>
      </c>
      <c r="H140" s="4">
        <v>3</v>
      </c>
      <c r="I140" s="4">
        <v>89.99</v>
      </c>
      <c r="J140" s="1" t="s">
        <v>26</v>
      </c>
      <c r="K140" s="1" t="s">
        <v>40</v>
      </c>
      <c r="L140" s="1" t="s">
        <v>27</v>
      </c>
      <c r="M140" s="3">
        <v>44420</v>
      </c>
      <c r="N140" s="4">
        <v>269.97000000000003</v>
      </c>
    </row>
    <row r="141" spans="1:14" ht="15.75" thickBot="1" x14ac:dyDescent="0.3">
      <c r="A141" s="1" t="s">
        <v>280</v>
      </c>
      <c r="B141" s="3">
        <v>45604</v>
      </c>
      <c r="C141" s="1" t="s">
        <v>89</v>
      </c>
      <c r="D141" s="1" t="s">
        <v>90</v>
      </c>
      <c r="E141" s="1" t="s">
        <v>44</v>
      </c>
      <c r="F141" s="1" t="s">
        <v>45</v>
      </c>
      <c r="G141" s="1" t="s">
        <v>46</v>
      </c>
      <c r="H141" s="4">
        <v>2</v>
      </c>
      <c r="I141" s="4">
        <v>149.99</v>
      </c>
      <c r="J141" s="1" t="s">
        <v>26</v>
      </c>
      <c r="K141" s="1" t="s">
        <v>50</v>
      </c>
      <c r="L141" s="1" t="s">
        <v>27</v>
      </c>
      <c r="M141" s="3">
        <v>44848</v>
      </c>
      <c r="N141" s="4">
        <v>299.98</v>
      </c>
    </row>
    <row r="142" spans="1:14" ht="15.75" thickBot="1" x14ac:dyDescent="0.3">
      <c r="A142" s="1" t="s">
        <v>281</v>
      </c>
      <c r="B142" s="3">
        <v>45605</v>
      </c>
      <c r="C142" s="1" t="s">
        <v>185</v>
      </c>
      <c r="D142" s="1" t="s">
        <v>186</v>
      </c>
      <c r="E142" s="1" t="s">
        <v>17</v>
      </c>
      <c r="F142" s="1" t="s">
        <v>18</v>
      </c>
      <c r="G142" s="1" t="s">
        <v>19</v>
      </c>
      <c r="H142" s="4">
        <v>1</v>
      </c>
      <c r="I142" s="4">
        <v>249.99</v>
      </c>
      <c r="J142" s="1" t="s">
        <v>26</v>
      </c>
      <c r="K142" s="1" t="s">
        <v>40</v>
      </c>
      <c r="L142" s="1" t="s">
        <v>27</v>
      </c>
      <c r="M142" s="3">
        <v>44828</v>
      </c>
      <c r="N142" s="4">
        <v>249.99</v>
      </c>
    </row>
    <row r="143" spans="1:14" ht="15.75" thickBot="1" x14ac:dyDescent="0.3">
      <c r="A143" s="1" t="s">
        <v>282</v>
      </c>
      <c r="B143" s="3">
        <v>45607</v>
      </c>
      <c r="C143" s="1" t="s">
        <v>72</v>
      </c>
      <c r="D143" s="1" t="s">
        <v>73</v>
      </c>
      <c r="E143" s="1" t="s">
        <v>52</v>
      </c>
      <c r="F143" s="1" t="s">
        <v>53</v>
      </c>
      <c r="G143" s="1" t="s">
        <v>19</v>
      </c>
      <c r="H143" s="4">
        <v>3</v>
      </c>
      <c r="I143" s="4">
        <v>149.99</v>
      </c>
      <c r="J143" s="1" t="s">
        <v>20</v>
      </c>
      <c r="K143" s="1" t="s">
        <v>40</v>
      </c>
      <c r="L143" s="1" t="s">
        <v>22</v>
      </c>
      <c r="M143" s="3">
        <v>44769</v>
      </c>
      <c r="N143" s="4">
        <v>449.97</v>
      </c>
    </row>
    <row r="144" spans="1:14" ht="15.75" thickBot="1" x14ac:dyDescent="0.3">
      <c r="A144" s="1" t="s">
        <v>283</v>
      </c>
      <c r="B144" s="3">
        <v>45607</v>
      </c>
      <c r="C144" s="1" t="s">
        <v>15</v>
      </c>
      <c r="D144" s="1" t="s">
        <v>16</v>
      </c>
      <c r="E144" s="1" t="s">
        <v>31</v>
      </c>
      <c r="F144" s="1" t="s">
        <v>32</v>
      </c>
      <c r="G144" s="1" t="s">
        <v>33</v>
      </c>
      <c r="H144" s="4">
        <v>5</v>
      </c>
      <c r="I144" s="4">
        <v>59.99</v>
      </c>
      <c r="J144" s="1" t="s">
        <v>34</v>
      </c>
      <c r="K144" s="1" t="s">
        <v>50</v>
      </c>
      <c r="L144" s="1" t="s">
        <v>27</v>
      </c>
      <c r="M144" s="3">
        <v>44694</v>
      </c>
      <c r="N144" s="4">
        <v>299.95</v>
      </c>
    </row>
    <row r="145" spans="1:14" ht="15.75" thickBot="1" x14ac:dyDescent="0.3">
      <c r="A145" s="1" t="s">
        <v>284</v>
      </c>
      <c r="B145" s="3">
        <v>45607</v>
      </c>
      <c r="C145" s="1" t="s">
        <v>99</v>
      </c>
      <c r="D145" s="1" t="s">
        <v>100</v>
      </c>
      <c r="E145" s="1" t="s">
        <v>17</v>
      </c>
      <c r="F145" s="1" t="s">
        <v>18</v>
      </c>
      <c r="G145" s="1" t="s">
        <v>19</v>
      </c>
      <c r="H145" s="4">
        <v>4</v>
      </c>
      <c r="I145" s="4">
        <v>249.99</v>
      </c>
      <c r="J145" s="1" t="s">
        <v>26</v>
      </c>
      <c r="K145" s="1" t="s">
        <v>50</v>
      </c>
      <c r="L145" s="1" t="s">
        <v>36</v>
      </c>
      <c r="M145" s="3">
        <v>44659</v>
      </c>
      <c r="N145" s="4">
        <v>999.96</v>
      </c>
    </row>
    <row r="146" spans="1:14" ht="15.75" thickBot="1" x14ac:dyDescent="0.3">
      <c r="A146" s="1" t="s">
        <v>285</v>
      </c>
      <c r="B146" s="3">
        <v>45608</v>
      </c>
      <c r="C146" s="1" t="s">
        <v>154</v>
      </c>
      <c r="D146" s="1" t="s">
        <v>155</v>
      </c>
      <c r="E146" s="1" t="s">
        <v>44</v>
      </c>
      <c r="F146" s="1" t="s">
        <v>45</v>
      </c>
      <c r="G146" s="1" t="s">
        <v>46</v>
      </c>
      <c r="H146" s="4">
        <v>5</v>
      </c>
      <c r="I146" s="4">
        <v>149.99</v>
      </c>
      <c r="J146" s="1" t="s">
        <v>34</v>
      </c>
      <c r="K146" s="1" t="s">
        <v>21</v>
      </c>
      <c r="L146" s="1" t="s">
        <v>22</v>
      </c>
      <c r="M146" s="3">
        <v>44901</v>
      </c>
      <c r="N146" s="4">
        <v>749.95</v>
      </c>
    </row>
    <row r="147" spans="1:14" ht="15.75" thickBot="1" x14ac:dyDescent="0.3">
      <c r="A147" s="1" t="s">
        <v>286</v>
      </c>
      <c r="B147" s="3">
        <v>45608</v>
      </c>
      <c r="C147" s="1" t="s">
        <v>83</v>
      </c>
      <c r="D147" s="1" t="s">
        <v>84</v>
      </c>
      <c r="E147" s="1" t="s">
        <v>31</v>
      </c>
      <c r="F147" s="1" t="s">
        <v>32</v>
      </c>
      <c r="G147" s="1" t="s">
        <v>33</v>
      </c>
      <c r="H147" s="4">
        <v>3</v>
      </c>
      <c r="I147" s="4">
        <v>59.99</v>
      </c>
      <c r="J147" s="1" t="s">
        <v>57</v>
      </c>
      <c r="K147" s="1" t="s">
        <v>35</v>
      </c>
      <c r="L147" s="1" t="s">
        <v>36</v>
      </c>
      <c r="M147" s="3">
        <v>45260</v>
      </c>
      <c r="N147" s="4">
        <v>179.97</v>
      </c>
    </row>
    <row r="148" spans="1:14" ht="15.75" thickBot="1" x14ac:dyDescent="0.3">
      <c r="A148" s="1" t="s">
        <v>287</v>
      </c>
      <c r="B148" s="3">
        <v>45613</v>
      </c>
      <c r="C148" s="1" t="s">
        <v>234</v>
      </c>
      <c r="D148" s="1" t="s">
        <v>235</v>
      </c>
      <c r="E148" s="1" t="s">
        <v>44</v>
      </c>
      <c r="F148" s="1" t="s">
        <v>45</v>
      </c>
      <c r="G148" s="1" t="s">
        <v>46</v>
      </c>
      <c r="H148" s="4">
        <v>5</v>
      </c>
      <c r="I148" s="4">
        <v>149.99</v>
      </c>
      <c r="J148" s="1" t="s">
        <v>20</v>
      </c>
      <c r="K148" s="1" t="s">
        <v>40</v>
      </c>
      <c r="L148" s="1" t="s">
        <v>22</v>
      </c>
      <c r="M148" s="3">
        <v>44869</v>
      </c>
      <c r="N148" s="4">
        <v>749.95</v>
      </c>
    </row>
    <row r="149" spans="1:14" ht="15.75" thickBot="1" x14ac:dyDescent="0.3">
      <c r="A149" s="1" t="s">
        <v>288</v>
      </c>
      <c r="B149" s="3">
        <v>45613</v>
      </c>
      <c r="C149" s="1" t="s">
        <v>86</v>
      </c>
      <c r="D149" s="1" t="s">
        <v>87</v>
      </c>
      <c r="E149" s="1" t="s">
        <v>80</v>
      </c>
      <c r="F149" s="1" t="s">
        <v>81</v>
      </c>
      <c r="G149" s="1" t="s">
        <v>19</v>
      </c>
      <c r="H149" s="4">
        <v>2</v>
      </c>
      <c r="I149" s="4">
        <v>699.99</v>
      </c>
      <c r="J149" s="1" t="s">
        <v>34</v>
      </c>
      <c r="K149" s="1" t="s">
        <v>50</v>
      </c>
      <c r="L149" s="1" t="s">
        <v>36</v>
      </c>
      <c r="M149" s="3">
        <v>44770</v>
      </c>
      <c r="N149" s="4">
        <v>1399.98</v>
      </c>
    </row>
    <row r="150" spans="1:14" ht="15.75" thickBot="1" x14ac:dyDescent="0.3">
      <c r="A150" s="1" t="s">
        <v>289</v>
      </c>
      <c r="B150" s="3">
        <v>45617</v>
      </c>
      <c r="C150" s="1" t="s">
        <v>123</v>
      </c>
      <c r="D150" s="1" t="s">
        <v>124</v>
      </c>
      <c r="E150" s="1" t="s">
        <v>126</v>
      </c>
      <c r="F150" s="1" t="s">
        <v>127</v>
      </c>
      <c r="G150" s="1" t="s">
        <v>46</v>
      </c>
      <c r="H150" s="4">
        <v>4</v>
      </c>
      <c r="I150" s="4">
        <v>199.99</v>
      </c>
      <c r="J150" s="1" t="s">
        <v>57</v>
      </c>
      <c r="K150" s="1" t="s">
        <v>21</v>
      </c>
      <c r="L150" s="1" t="s">
        <v>27</v>
      </c>
      <c r="M150" s="3">
        <v>44427</v>
      </c>
      <c r="N150" s="4">
        <v>799.96</v>
      </c>
    </row>
    <row r="151" spans="1:14" ht="15.75" thickBot="1" x14ac:dyDescent="0.3">
      <c r="A151" s="1" t="s">
        <v>290</v>
      </c>
      <c r="B151" s="3">
        <v>45619</v>
      </c>
      <c r="C151" s="1" t="s">
        <v>192</v>
      </c>
      <c r="D151" s="1" t="s">
        <v>193</v>
      </c>
      <c r="E151" s="1" t="s">
        <v>31</v>
      </c>
      <c r="F151" s="1" t="s">
        <v>32</v>
      </c>
      <c r="G151" s="1" t="s">
        <v>33</v>
      </c>
      <c r="H151" s="4">
        <v>1</v>
      </c>
      <c r="I151" s="4">
        <v>59.99</v>
      </c>
      <c r="J151" s="1" t="s">
        <v>57</v>
      </c>
      <c r="K151" s="1" t="s">
        <v>50</v>
      </c>
      <c r="L151" s="1" t="s">
        <v>36</v>
      </c>
      <c r="M151" s="3">
        <v>44560</v>
      </c>
      <c r="N151" s="4">
        <v>59.99</v>
      </c>
    </row>
    <row r="152" spans="1:14" ht="15.75" thickBot="1" x14ac:dyDescent="0.3">
      <c r="A152" s="1" t="s">
        <v>291</v>
      </c>
      <c r="B152" s="3">
        <v>45619</v>
      </c>
      <c r="C152" s="1" t="s">
        <v>154</v>
      </c>
      <c r="D152" s="1" t="s">
        <v>155</v>
      </c>
      <c r="E152" s="1" t="s">
        <v>80</v>
      </c>
      <c r="F152" s="1" t="s">
        <v>81</v>
      </c>
      <c r="G152" s="1" t="s">
        <v>19</v>
      </c>
      <c r="H152" s="4">
        <v>3</v>
      </c>
      <c r="I152" s="4">
        <v>699.99</v>
      </c>
      <c r="J152" s="1" t="s">
        <v>34</v>
      </c>
      <c r="K152" s="1" t="s">
        <v>50</v>
      </c>
      <c r="L152" s="1" t="s">
        <v>36</v>
      </c>
      <c r="M152" s="3">
        <v>44583</v>
      </c>
      <c r="N152" s="4">
        <v>2099.9699999999998</v>
      </c>
    </row>
    <row r="153" spans="1:14" ht="15.75" thickBot="1" x14ac:dyDescent="0.3">
      <c r="A153" s="1" t="s">
        <v>292</v>
      </c>
      <c r="B153" s="3">
        <v>45622</v>
      </c>
      <c r="C153" s="1" t="s">
        <v>293</v>
      </c>
      <c r="D153" s="1" t="s">
        <v>294</v>
      </c>
      <c r="E153" s="1" t="s">
        <v>17</v>
      </c>
      <c r="F153" s="1" t="s">
        <v>18</v>
      </c>
      <c r="G153" s="1" t="s">
        <v>19</v>
      </c>
      <c r="H153" s="4">
        <v>5</v>
      </c>
      <c r="I153" s="4">
        <v>249.99</v>
      </c>
      <c r="J153" s="1" t="s">
        <v>26</v>
      </c>
      <c r="K153" s="1" t="s">
        <v>40</v>
      </c>
      <c r="L153" s="1" t="s">
        <v>22</v>
      </c>
      <c r="M153" s="3">
        <v>44873</v>
      </c>
      <c r="N153" s="4">
        <v>1249.95</v>
      </c>
    </row>
    <row r="154" spans="1:14" ht="15.75" thickBot="1" x14ac:dyDescent="0.3">
      <c r="A154" s="1" t="s">
        <v>295</v>
      </c>
      <c r="B154" s="3">
        <v>45623</v>
      </c>
      <c r="C154" s="1" t="s">
        <v>112</v>
      </c>
      <c r="D154" s="1" t="s">
        <v>113</v>
      </c>
      <c r="E154" s="1" t="s">
        <v>44</v>
      </c>
      <c r="F154" s="1" t="s">
        <v>45</v>
      </c>
      <c r="G154" s="1" t="s">
        <v>46</v>
      </c>
      <c r="H154" s="4">
        <v>2</v>
      </c>
      <c r="I154" s="4">
        <v>149.99</v>
      </c>
      <c r="J154" s="1" t="s">
        <v>20</v>
      </c>
      <c r="K154" s="1" t="s">
        <v>35</v>
      </c>
      <c r="L154" s="1" t="s">
        <v>36</v>
      </c>
      <c r="M154" s="3">
        <v>45101</v>
      </c>
      <c r="N154" s="4">
        <v>299.98</v>
      </c>
    </row>
    <row r="155" spans="1:14" ht="15.75" thickBot="1" x14ac:dyDescent="0.3">
      <c r="A155" s="1" t="s">
        <v>296</v>
      </c>
      <c r="B155" s="3">
        <v>45627</v>
      </c>
      <c r="C155" s="1" t="s">
        <v>29</v>
      </c>
      <c r="D155" s="1" t="s">
        <v>30</v>
      </c>
      <c r="E155" s="1" t="s">
        <v>105</v>
      </c>
      <c r="F155" s="1" t="s">
        <v>106</v>
      </c>
      <c r="G155" s="1" t="s">
        <v>46</v>
      </c>
      <c r="H155" s="4">
        <v>3</v>
      </c>
      <c r="I155" s="4">
        <v>299.99</v>
      </c>
      <c r="J155" s="1" t="s">
        <v>20</v>
      </c>
      <c r="K155" s="1" t="s">
        <v>35</v>
      </c>
      <c r="L155" s="1" t="s">
        <v>27</v>
      </c>
      <c r="M155" s="3">
        <v>44659</v>
      </c>
      <c r="N155" s="4">
        <v>899.97</v>
      </c>
    </row>
    <row r="156" spans="1:14" ht="15.75" thickBot="1" x14ac:dyDescent="0.3">
      <c r="A156" s="1" t="s">
        <v>297</v>
      </c>
      <c r="B156" s="3">
        <v>45627</v>
      </c>
      <c r="C156" s="1" t="s">
        <v>55</v>
      </c>
      <c r="D156" s="1" t="s">
        <v>56</v>
      </c>
      <c r="E156" s="1" t="s">
        <v>17</v>
      </c>
      <c r="F156" s="1" t="s">
        <v>18</v>
      </c>
      <c r="G156" s="1" t="s">
        <v>19</v>
      </c>
      <c r="H156" s="4">
        <v>5</v>
      </c>
      <c r="I156" s="4">
        <v>249.99</v>
      </c>
      <c r="J156" s="1" t="s">
        <v>20</v>
      </c>
      <c r="K156" s="1" t="s">
        <v>21</v>
      </c>
      <c r="L156" s="1" t="s">
        <v>27</v>
      </c>
      <c r="M156" s="3">
        <v>44485</v>
      </c>
      <c r="N156" s="4">
        <v>1249.95</v>
      </c>
    </row>
    <row r="157" spans="1:14" ht="15.75" thickBot="1" x14ac:dyDescent="0.3">
      <c r="A157" s="1" t="s">
        <v>298</v>
      </c>
      <c r="B157" s="3">
        <v>45627</v>
      </c>
      <c r="C157" s="1" t="s">
        <v>24</v>
      </c>
      <c r="D157" s="1" t="s">
        <v>25</v>
      </c>
      <c r="E157" s="1" t="s">
        <v>52</v>
      </c>
      <c r="F157" s="1" t="s">
        <v>53</v>
      </c>
      <c r="G157" s="1" t="s">
        <v>19</v>
      </c>
      <c r="H157" s="4">
        <v>2</v>
      </c>
      <c r="I157" s="4">
        <v>149.99</v>
      </c>
      <c r="J157" s="1" t="s">
        <v>20</v>
      </c>
      <c r="K157" s="1" t="s">
        <v>35</v>
      </c>
      <c r="L157" s="1" t="s">
        <v>27</v>
      </c>
      <c r="M157" s="3">
        <v>44475</v>
      </c>
      <c r="N157" s="4">
        <v>299.98</v>
      </c>
    </row>
    <row r="158" spans="1:14" ht="15.75" thickBot="1" x14ac:dyDescent="0.3">
      <c r="A158" s="1" t="s">
        <v>299</v>
      </c>
      <c r="B158" s="3">
        <v>45627</v>
      </c>
      <c r="C158" s="1" t="s">
        <v>86</v>
      </c>
      <c r="D158" s="1" t="s">
        <v>87</v>
      </c>
      <c r="E158" s="1" t="s">
        <v>80</v>
      </c>
      <c r="F158" s="1" t="s">
        <v>81</v>
      </c>
      <c r="G158" s="1" t="s">
        <v>19</v>
      </c>
      <c r="H158" s="4">
        <v>5</v>
      </c>
      <c r="I158" s="4">
        <v>699.99</v>
      </c>
      <c r="J158" s="1" t="s">
        <v>57</v>
      </c>
      <c r="K158" s="1" t="s">
        <v>50</v>
      </c>
      <c r="L158" s="1" t="s">
        <v>36</v>
      </c>
      <c r="M158" s="3">
        <v>44944</v>
      </c>
      <c r="N158" s="4">
        <v>3499.95</v>
      </c>
    </row>
    <row r="159" spans="1:14" ht="15.75" thickBot="1" x14ac:dyDescent="0.3">
      <c r="A159" s="1" t="s">
        <v>300</v>
      </c>
      <c r="B159" s="3">
        <v>45629</v>
      </c>
      <c r="C159" s="1" t="s">
        <v>252</v>
      </c>
      <c r="D159" s="1" t="s">
        <v>253</v>
      </c>
      <c r="E159" s="1" t="s">
        <v>17</v>
      </c>
      <c r="F159" s="1" t="s">
        <v>18</v>
      </c>
      <c r="G159" s="1" t="s">
        <v>19</v>
      </c>
      <c r="H159" s="4">
        <v>4</v>
      </c>
      <c r="I159" s="4">
        <v>249.99</v>
      </c>
      <c r="J159" s="1" t="s">
        <v>34</v>
      </c>
      <c r="K159" s="1" t="s">
        <v>63</v>
      </c>
      <c r="L159" s="1" t="s">
        <v>27</v>
      </c>
      <c r="M159" s="3">
        <v>45098</v>
      </c>
      <c r="N159" s="4">
        <v>999.96</v>
      </c>
    </row>
    <row r="160" spans="1:14" ht="15.75" thickBot="1" x14ac:dyDescent="0.3">
      <c r="A160" s="1" t="s">
        <v>301</v>
      </c>
      <c r="B160" s="3">
        <v>45630</v>
      </c>
      <c r="C160" s="1" t="s">
        <v>48</v>
      </c>
      <c r="D160" s="1" t="s">
        <v>49</v>
      </c>
      <c r="E160" s="1" t="s">
        <v>80</v>
      </c>
      <c r="F160" s="1" t="s">
        <v>81</v>
      </c>
      <c r="G160" s="1" t="s">
        <v>19</v>
      </c>
      <c r="H160" s="4">
        <v>4</v>
      </c>
      <c r="I160" s="4">
        <v>699.99</v>
      </c>
      <c r="J160" s="1" t="s">
        <v>26</v>
      </c>
      <c r="K160" s="1" t="s">
        <v>40</v>
      </c>
      <c r="L160" s="1" t="s">
        <v>27</v>
      </c>
      <c r="M160" s="3">
        <v>44703</v>
      </c>
      <c r="N160" s="4">
        <v>2799.96</v>
      </c>
    </row>
    <row r="161" spans="1:14" ht="15.75" thickBot="1" x14ac:dyDescent="0.3">
      <c r="A161" s="1" t="s">
        <v>302</v>
      </c>
      <c r="B161" s="3">
        <v>45635</v>
      </c>
      <c r="C161" s="1" t="s">
        <v>108</v>
      </c>
      <c r="D161" s="1" t="s">
        <v>109</v>
      </c>
      <c r="E161" s="1" t="s">
        <v>17</v>
      </c>
      <c r="F161" s="1" t="s">
        <v>18</v>
      </c>
      <c r="G161" s="1" t="s">
        <v>19</v>
      </c>
      <c r="H161" s="4">
        <v>2</v>
      </c>
      <c r="I161" s="4">
        <v>249.99</v>
      </c>
      <c r="J161" s="1" t="s">
        <v>26</v>
      </c>
      <c r="K161" s="1" t="s">
        <v>21</v>
      </c>
      <c r="L161" s="1" t="s">
        <v>27</v>
      </c>
      <c r="M161" s="3">
        <v>44396</v>
      </c>
      <c r="N161" s="4">
        <v>499.98</v>
      </c>
    </row>
    <row r="162" spans="1:14" ht="15.75" thickBot="1" x14ac:dyDescent="0.3">
      <c r="A162" s="1" t="s">
        <v>303</v>
      </c>
      <c r="B162" s="3">
        <v>45635</v>
      </c>
      <c r="C162" s="1" t="s">
        <v>304</v>
      </c>
      <c r="D162" s="1" t="s">
        <v>305</v>
      </c>
      <c r="E162" s="1" t="s">
        <v>31</v>
      </c>
      <c r="F162" s="1" t="s">
        <v>32</v>
      </c>
      <c r="G162" s="1" t="s">
        <v>33</v>
      </c>
      <c r="H162" s="4">
        <v>3</v>
      </c>
      <c r="I162" s="4">
        <v>59.99</v>
      </c>
      <c r="J162" s="1" t="s">
        <v>20</v>
      </c>
      <c r="K162" s="1" t="s">
        <v>21</v>
      </c>
      <c r="L162" s="1" t="s">
        <v>27</v>
      </c>
      <c r="M162" s="3">
        <v>45052</v>
      </c>
      <c r="N162" s="4">
        <v>179.97</v>
      </c>
    </row>
    <row r="163" spans="1:14" ht="15.75" thickBot="1" x14ac:dyDescent="0.3">
      <c r="A163" s="1" t="s">
        <v>306</v>
      </c>
      <c r="B163" s="3">
        <v>45635</v>
      </c>
      <c r="C163" s="1" t="s">
        <v>141</v>
      </c>
      <c r="D163" s="1" t="s">
        <v>142</v>
      </c>
      <c r="E163" s="1" t="s">
        <v>114</v>
      </c>
      <c r="F163" s="1" t="s">
        <v>115</v>
      </c>
      <c r="G163" s="1" t="s">
        <v>33</v>
      </c>
      <c r="H163" s="4">
        <v>4</v>
      </c>
      <c r="I163" s="4">
        <v>79.989999999999995</v>
      </c>
      <c r="J163" s="1" t="s">
        <v>57</v>
      </c>
      <c r="K163" s="1" t="s">
        <v>63</v>
      </c>
      <c r="L163" s="1" t="s">
        <v>36</v>
      </c>
      <c r="M163" s="3">
        <v>44921</v>
      </c>
      <c r="N163" s="4">
        <v>319.95999999999998</v>
      </c>
    </row>
    <row r="164" spans="1:14" ht="15.75" thickBot="1" x14ac:dyDescent="0.3">
      <c r="A164" s="1" t="s">
        <v>307</v>
      </c>
      <c r="B164" s="3">
        <v>45636</v>
      </c>
      <c r="C164" s="1" t="s">
        <v>120</v>
      </c>
      <c r="D164" s="1" t="s">
        <v>121</v>
      </c>
      <c r="E164" s="1" t="s">
        <v>114</v>
      </c>
      <c r="F164" s="1" t="s">
        <v>115</v>
      </c>
      <c r="G164" s="1" t="s">
        <v>33</v>
      </c>
      <c r="H164" s="4">
        <v>3</v>
      </c>
      <c r="I164" s="4">
        <v>79.989999999999995</v>
      </c>
      <c r="J164" s="1" t="s">
        <v>57</v>
      </c>
      <c r="K164" s="1" t="s">
        <v>63</v>
      </c>
      <c r="L164" s="1" t="s">
        <v>36</v>
      </c>
      <c r="M164" s="3">
        <v>44779</v>
      </c>
      <c r="N164" s="4">
        <v>239.97</v>
      </c>
    </row>
    <row r="165" spans="1:14" ht="15.75" thickBot="1" x14ac:dyDescent="0.3">
      <c r="A165" s="1" t="s">
        <v>308</v>
      </c>
      <c r="B165" s="3">
        <v>45638</v>
      </c>
      <c r="C165" s="1" t="s">
        <v>72</v>
      </c>
      <c r="D165" s="1" t="s">
        <v>73</v>
      </c>
      <c r="E165" s="1" t="s">
        <v>61</v>
      </c>
      <c r="F165" s="1" t="s">
        <v>62</v>
      </c>
      <c r="G165" s="1" t="s">
        <v>19</v>
      </c>
      <c r="H165" s="4">
        <v>2</v>
      </c>
      <c r="I165" s="4">
        <v>899.99</v>
      </c>
      <c r="J165" s="1" t="s">
        <v>20</v>
      </c>
      <c r="K165" s="1" t="s">
        <v>40</v>
      </c>
      <c r="L165" s="1" t="s">
        <v>22</v>
      </c>
      <c r="M165" s="3">
        <v>44406</v>
      </c>
      <c r="N165" s="4">
        <v>1799.98</v>
      </c>
    </row>
    <row r="166" spans="1:14" ht="15.75" thickBot="1" x14ac:dyDescent="0.3">
      <c r="A166" s="1" t="s">
        <v>309</v>
      </c>
      <c r="B166" s="3">
        <v>45641</v>
      </c>
      <c r="C166" s="1" t="s">
        <v>182</v>
      </c>
      <c r="D166" s="1" t="s">
        <v>183</v>
      </c>
      <c r="E166" s="1" t="s">
        <v>44</v>
      </c>
      <c r="F166" s="1" t="s">
        <v>45</v>
      </c>
      <c r="G166" s="1" t="s">
        <v>46</v>
      </c>
      <c r="H166" s="4">
        <v>1</v>
      </c>
      <c r="I166" s="4">
        <v>149.99</v>
      </c>
      <c r="J166" s="1" t="s">
        <v>57</v>
      </c>
      <c r="K166" s="1" t="s">
        <v>63</v>
      </c>
      <c r="L166" s="1" t="s">
        <v>36</v>
      </c>
      <c r="M166" s="3">
        <v>45200</v>
      </c>
      <c r="N166" s="4">
        <v>149.99</v>
      </c>
    </row>
    <row r="167" spans="1:14" ht="15.75" thickBot="1" x14ac:dyDescent="0.3">
      <c r="A167" s="1" t="s">
        <v>310</v>
      </c>
      <c r="B167" s="3">
        <v>45641</v>
      </c>
      <c r="C167" s="1" t="s">
        <v>138</v>
      </c>
      <c r="D167" s="1" t="s">
        <v>139</v>
      </c>
      <c r="E167" s="1" t="s">
        <v>105</v>
      </c>
      <c r="F167" s="1" t="s">
        <v>106</v>
      </c>
      <c r="G167" s="1" t="s">
        <v>46</v>
      </c>
      <c r="H167" s="4">
        <v>2</v>
      </c>
      <c r="I167" s="4">
        <v>299.99</v>
      </c>
      <c r="J167" s="1" t="s">
        <v>20</v>
      </c>
      <c r="K167" s="1" t="s">
        <v>63</v>
      </c>
      <c r="L167" s="1" t="s">
        <v>27</v>
      </c>
      <c r="M167" s="3">
        <v>44724</v>
      </c>
      <c r="N167" s="4">
        <v>599.98</v>
      </c>
    </row>
    <row r="168" spans="1:14" ht="15.75" thickBot="1" x14ac:dyDescent="0.3">
      <c r="A168" s="1" t="s">
        <v>311</v>
      </c>
      <c r="B168" s="3">
        <v>45644</v>
      </c>
      <c r="C168" s="1" t="s">
        <v>132</v>
      </c>
      <c r="D168" s="1" t="s">
        <v>133</v>
      </c>
      <c r="E168" s="1" t="s">
        <v>31</v>
      </c>
      <c r="F168" s="1" t="s">
        <v>32</v>
      </c>
      <c r="G168" s="1" t="s">
        <v>33</v>
      </c>
      <c r="H168" s="4">
        <v>2</v>
      </c>
      <c r="I168" s="4">
        <v>59.99</v>
      </c>
      <c r="J168" s="1" t="s">
        <v>20</v>
      </c>
      <c r="K168" s="1" t="s">
        <v>50</v>
      </c>
      <c r="L168" s="1" t="s">
        <v>22</v>
      </c>
      <c r="M168" s="3">
        <v>45191</v>
      </c>
      <c r="N168" s="4">
        <v>119.98</v>
      </c>
    </row>
    <row r="169" spans="1:14" ht="15.75" thickBot="1" x14ac:dyDescent="0.3">
      <c r="A169" s="1" t="s">
        <v>312</v>
      </c>
      <c r="B169" s="3">
        <v>45645</v>
      </c>
      <c r="C169" s="1" t="s">
        <v>182</v>
      </c>
      <c r="D169" s="1" t="s">
        <v>183</v>
      </c>
      <c r="E169" s="1" t="s">
        <v>117</v>
      </c>
      <c r="F169" s="1" t="s">
        <v>118</v>
      </c>
      <c r="G169" s="1" t="s">
        <v>19</v>
      </c>
      <c r="H169" s="4">
        <v>1</v>
      </c>
      <c r="I169" s="4">
        <v>89.99</v>
      </c>
      <c r="J169" s="1" t="s">
        <v>57</v>
      </c>
      <c r="K169" s="1" t="s">
        <v>21</v>
      </c>
      <c r="L169" s="1" t="s">
        <v>36</v>
      </c>
      <c r="M169" s="3">
        <v>44760</v>
      </c>
      <c r="N169" s="4">
        <v>89.99</v>
      </c>
    </row>
    <row r="170" spans="1:14" ht="15.75" thickBot="1" x14ac:dyDescent="0.3">
      <c r="A170" s="1" t="s">
        <v>313</v>
      </c>
      <c r="B170" s="3">
        <v>45645</v>
      </c>
      <c r="C170" s="1" t="s">
        <v>147</v>
      </c>
      <c r="D170" s="1" t="s">
        <v>148</v>
      </c>
      <c r="E170" s="1" t="s">
        <v>61</v>
      </c>
      <c r="F170" s="1" t="s">
        <v>62</v>
      </c>
      <c r="G170" s="1" t="s">
        <v>19</v>
      </c>
      <c r="H170" s="4">
        <v>5</v>
      </c>
      <c r="I170" s="4">
        <v>899.99</v>
      </c>
      <c r="J170" s="1" t="s">
        <v>57</v>
      </c>
      <c r="K170" s="1" t="s">
        <v>63</v>
      </c>
      <c r="L170" s="1" t="s">
        <v>36</v>
      </c>
      <c r="M170" s="3">
        <v>44625</v>
      </c>
      <c r="N170" s="4">
        <v>4499.95</v>
      </c>
    </row>
    <row r="171" spans="1:14" ht="15.75" thickBot="1" x14ac:dyDescent="0.3">
      <c r="A171" s="1" t="s">
        <v>314</v>
      </c>
      <c r="B171" s="3">
        <v>45646</v>
      </c>
      <c r="C171" s="1" t="s">
        <v>42</v>
      </c>
      <c r="D171" s="1" t="s">
        <v>43</v>
      </c>
      <c r="E171" s="1" t="s">
        <v>44</v>
      </c>
      <c r="F171" s="1" t="s">
        <v>45</v>
      </c>
      <c r="G171" s="1" t="s">
        <v>46</v>
      </c>
      <c r="H171" s="4">
        <v>2</v>
      </c>
      <c r="I171" s="4">
        <v>149.99</v>
      </c>
      <c r="J171" s="1" t="s">
        <v>20</v>
      </c>
      <c r="K171" s="1" t="s">
        <v>35</v>
      </c>
      <c r="L171" s="1" t="s">
        <v>22</v>
      </c>
      <c r="M171" s="3">
        <v>45239</v>
      </c>
      <c r="N171" s="4">
        <v>299.98</v>
      </c>
    </row>
    <row r="172" spans="1:14" ht="15.75" thickBot="1" x14ac:dyDescent="0.3">
      <c r="A172" s="1" t="s">
        <v>315</v>
      </c>
      <c r="B172" s="3">
        <v>45648</v>
      </c>
      <c r="C172" s="1" t="s">
        <v>112</v>
      </c>
      <c r="D172" s="1" t="s">
        <v>113</v>
      </c>
      <c r="E172" s="1" t="s">
        <v>52</v>
      </c>
      <c r="F172" s="1" t="s">
        <v>53</v>
      </c>
      <c r="G172" s="1" t="s">
        <v>19</v>
      </c>
      <c r="H172" s="4">
        <v>2</v>
      </c>
      <c r="I172" s="4">
        <v>149.99</v>
      </c>
      <c r="J172" s="1" t="s">
        <v>57</v>
      </c>
      <c r="K172" s="1" t="s">
        <v>50</v>
      </c>
      <c r="L172" s="1" t="s">
        <v>27</v>
      </c>
      <c r="M172" s="3">
        <v>45280</v>
      </c>
      <c r="N172" s="4">
        <v>299.98</v>
      </c>
    </row>
    <row r="173" spans="1:14" ht="15.75" thickBot="1" x14ac:dyDescent="0.3">
      <c r="A173" s="1" t="s">
        <v>316</v>
      </c>
      <c r="B173" s="3">
        <v>45648</v>
      </c>
      <c r="C173" s="1" t="s">
        <v>182</v>
      </c>
      <c r="D173" s="1" t="s">
        <v>183</v>
      </c>
      <c r="E173" s="1" t="s">
        <v>44</v>
      </c>
      <c r="F173" s="1" t="s">
        <v>45</v>
      </c>
      <c r="G173" s="1" t="s">
        <v>46</v>
      </c>
      <c r="H173" s="4">
        <v>3</v>
      </c>
      <c r="I173" s="4">
        <v>149.99</v>
      </c>
      <c r="J173" s="1" t="s">
        <v>57</v>
      </c>
      <c r="K173" s="1" t="s">
        <v>40</v>
      </c>
      <c r="L173" s="1" t="s">
        <v>36</v>
      </c>
      <c r="M173" s="3">
        <v>44522</v>
      </c>
      <c r="N173" s="4">
        <v>449.97</v>
      </c>
    </row>
    <row r="174" spans="1:14" ht="15.75" thickBot="1" x14ac:dyDescent="0.3">
      <c r="A174" s="1" t="s">
        <v>317</v>
      </c>
      <c r="B174" s="3">
        <v>45649</v>
      </c>
      <c r="C174" s="1" t="s">
        <v>29</v>
      </c>
      <c r="D174" s="1" t="s">
        <v>30</v>
      </c>
      <c r="E174" s="1" t="s">
        <v>105</v>
      </c>
      <c r="F174" s="1" t="s">
        <v>106</v>
      </c>
      <c r="G174" s="1" t="s">
        <v>46</v>
      </c>
      <c r="H174" s="4">
        <v>2</v>
      </c>
      <c r="I174" s="4">
        <v>299.99</v>
      </c>
      <c r="J174" s="1" t="s">
        <v>34</v>
      </c>
      <c r="K174" s="1" t="s">
        <v>35</v>
      </c>
      <c r="L174" s="1" t="s">
        <v>22</v>
      </c>
      <c r="M174" s="3">
        <v>44721</v>
      </c>
      <c r="N174" s="4">
        <v>599.98</v>
      </c>
    </row>
    <row r="175" spans="1:14" ht="15.75" thickBot="1" x14ac:dyDescent="0.3">
      <c r="A175" s="1" t="s">
        <v>318</v>
      </c>
      <c r="B175" s="3">
        <v>45654</v>
      </c>
      <c r="C175" s="1" t="s">
        <v>42</v>
      </c>
      <c r="D175" s="1" t="s">
        <v>43</v>
      </c>
      <c r="E175" s="1" t="s">
        <v>105</v>
      </c>
      <c r="F175" s="1" t="s">
        <v>106</v>
      </c>
      <c r="G175" s="1" t="s">
        <v>46</v>
      </c>
      <c r="H175" s="4">
        <v>2</v>
      </c>
      <c r="I175" s="4">
        <v>299.99</v>
      </c>
      <c r="J175" s="1" t="s">
        <v>20</v>
      </c>
      <c r="K175" s="1" t="s">
        <v>50</v>
      </c>
      <c r="L175" s="1" t="s">
        <v>22</v>
      </c>
      <c r="M175" s="3">
        <v>44771</v>
      </c>
      <c r="N175" s="4">
        <v>599.98</v>
      </c>
    </row>
    <row r="176" spans="1:14" ht="15.75" thickBot="1" x14ac:dyDescent="0.3">
      <c r="A176" s="1" t="s">
        <v>319</v>
      </c>
      <c r="B176" s="3">
        <v>45654</v>
      </c>
      <c r="C176" s="1" t="s">
        <v>120</v>
      </c>
      <c r="D176" s="1" t="s">
        <v>121</v>
      </c>
      <c r="E176" s="1" t="s">
        <v>126</v>
      </c>
      <c r="F176" s="1" t="s">
        <v>127</v>
      </c>
      <c r="G176" s="1" t="s">
        <v>46</v>
      </c>
      <c r="H176" s="4">
        <v>4</v>
      </c>
      <c r="I176" s="4">
        <v>199.99</v>
      </c>
      <c r="J176" s="1" t="s">
        <v>26</v>
      </c>
      <c r="K176" s="1" t="s">
        <v>21</v>
      </c>
      <c r="L176" s="1" t="s">
        <v>22</v>
      </c>
      <c r="M176" s="3">
        <v>44523</v>
      </c>
      <c r="N176" s="4">
        <v>799.96</v>
      </c>
    </row>
    <row r="177" spans="1:14" ht="15.75" thickBot="1" x14ac:dyDescent="0.3">
      <c r="A177" s="1" t="s">
        <v>320</v>
      </c>
      <c r="B177" s="3">
        <v>45655</v>
      </c>
      <c r="C177" s="1" t="s">
        <v>59</v>
      </c>
      <c r="D177" s="1" t="s">
        <v>60</v>
      </c>
      <c r="E177" s="1" t="s">
        <v>117</v>
      </c>
      <c r="F177" s="1" t="s">
        <v>118</v>
      </c>
      <c r="G177" s="1" t="s">
        <v>19</v>
      </c>
      <c r="H177" s="4">
        <v>1</v>
      </c>
      <c r="I177" s="4">
        <v>89.99</v>
      </c>
      <c r="J177" s="1" t="s">
        <v>26</v>
      </c>
      <c r="K177" s="1" t="s">
        <v>35</v>
      </c>
      <c r="L177" s="1" t="s">
        <v>27</v>
      </c>
      <c r="M177" s="3">
        <v>44591</v>
      </c>
      <c r="N177" s="4">
        <v>89.99</v>
      </c>
    </row>
    <row r="178" spans="1:14" ht="15.75" thickBot="1" x14ac:dyDescent="0.3">
      <c r="A178" s="1" t="s">
        <v>321</v>
      </c>
      <c r="B178" s="3">
        <v>45655</v>
      </c>
      <c r="C178" s="1" t="s">
        <v>108</v>
      </c>
      <c r="D178" s="1" t="s">
        <v>109</v>
      </c>
      <c r="E178" s="1" t="s">
        <v>44</v>
      </c>
      <c r="F178" s="1" t="s">
        <v>45</v>
      </c>
      <c r="G178" s="1" t="s">
        <v>46</v>
      </c>
      <c r="H178" s="4">
        <v>5</v>
      </c>
      <c r="I178" s="4">
        <v>149.99</v>
      </c>
      <c r="J178" s="1" t="s">
        <v>20</v>
      </c>
      <c r="K178" s="1" t="s">
        <v>21</v>
      </c>
      <c r="L178" s="1" t="s">
        <v>27</v>
      </c>
      <c r="M178" s="3">
        <v>45347</v>
      </c>
      <c r="N178" s="4">
        <v>749.95</v>
      </c>
    </row>
    <row r="179" spans="1:14" ht="15.75" thickBot="1" x14ac:dyDescent="0.3">
      <c r="A179" s="1" t="s">
        <v>322</v>
      </c>
      <c r="B179" s="3">
        <v>45657</v>
      </c>
      <c r="C179" s="1" t="s">
        <v>86</v>
      </c>
      <c r="D179" s="1" t="s">
        <v>87</v>
      </c>
      <c r="E179" s="1" t="s">
        <v>61</v>
      </c>
      <c r="F179" s="1" t="s">
        <v>62</v>
      </c>
      <c r="G179" s="1" t="s">
        <v>19</v>
      </c>
      <c r="H179" s="4">
        <v>1</v>
      </c>
      <c r="I179" s="4">
        <v>899.99</v>
      </c>
      <c r="J179" s="1" t="s">
        <v>34</v>
      </c>
      <c r="K179" s="1" t="s">
        <v>40</v>
      </c>
      <c r="L179" s="1" t="s">
        <v>27</v>
      </c>
      <c r="M179" s="3">
        <v>45050</v>
      </c>
      <c r="N179" s="4">
        <v>899.99</v>
      </c>
    </row>
    <row r="180" spans="1:14" ht="15.75" thickBot="1" x14ac:dyDescent="0.3">
      <c r="A180" s="1" t="s">
        <v>323</v>
      </c>
      <c r="B180" s="3">
        <v>45660</v>
      </c>
      <c r="C180" s="1" t="s">
        <v>147</v>
      </c>
      <c r="D180" s="1" t="s">
        <v>148</v>
      </c>
      <c r="E180" s="1" t="s">
        <v>117</v>
      </c>
      <c r="F180" s="1" t="s">
        <v>118</v>
      </c>
      <c r="G180" s="1" t="s">
        <v>19</v>
      </c>
      <c r="H180" s="4">
        <v>2</v>
      </c>
      <c r="I180" s="4">
        <v>89.99</v>
      </c>
      <c r="J180" s="1" t="s">
        <v>26</v>
      </c>
      <c r="K180" s="1" t="s">
        <v>35</v>
      </c>
      <c r="L180" s="1" t="s">
        <v>27</v>
      </c>
      <c r="M180" s="3">
        <v>44564</v>
      </c>
      <c r="N180" s="4">
        <v>179.98</v>
      </c>
    </row>
    <row r="181" spans="1:14" ht="15.75" thickBot="1" x14ac:dyDescent="0.3">
      <c r="A181" s="1" t="s">
        <v>324</v>
      </c>
      <c r="B181" s="3">
        <v>45661</v>
      </c>
      <c r="C181" s="1" t="s">
        <v>325</v>
      </c>
      <c r="D181" s="1" t="s">
        <v>326</v>
      </c>
      <c r="E181" s="1" t="s">
        <v>61</v>
      </c>
      <c r="F181" s="1" t="s">
        <v>62</v>
      </c>
      <c r="G181" s="1" t="s">
        <v>19</v>
      </c>
      <c r="H181" s="4">
        <v>1</v>
      </c>
      <c r="I181" s="4">
        <v>899.99</v>
      </c>
      <c r="J181" s="1" t="s">
        <v>34</v>
      </c>
      <c r="K181" s="1" t="s">
        <v>40</v>
      </c>
      <c r="L181" s="1" t="s">
        <v>36</v>
      </c>
      <c r="M181" s="3">
        <v>44752</v>
      </c>
      <c r="N181" s="4">
        <v>899.99</v>
      </c>
    </row>
    <row r="182" spans="1:14" ht="15.75" thickBot="1" x14ac:dyDescent="0.3">
      <c r="A182" s="1" t="s">
        <v>327</v>
      </c>
      <c r="B182" s="3">
        <v>45663</v>
      </c>
      <c r="C182" s="1" t="s">
        <v>129</v>
      </c>
      <c r="D182" s="1" t="s">
        <v>130</v>
      </c>
      <c r="E182" s="1" t="s">
        <v>52</v>
      </c>
      <c r="F182" s="1" t="s">
        <v>53</v>
      </c>
      <c r="G182" s="1" t="s">
        <v>19</v>
      </c>
      <c r="H182" s="4">
        <v>5</v>
      </c>
      <c r="I182" s="4">
        <v>149.99</v>
      </c>
      <c r="J182" s="1" t="s">
        <v>34</v>
      </c>
      <c r="K182" s="1" t="s">
        <v>63</v>
      </c>
      <c r="L182" s="1" t="s">
        <v>27</v>
      </c>
      <c r="M182" s="3">
        <v>44824</v>
      </c>
      <c r="N182" s="4">
        <v>749.95</v>
      </c>
    </row>
    <row r="183" spans="1:14" ht="15.75" thickBot="1" x14ac:dyDescent="0.3">
      <c r="A183" s="1" t="s">
        <v>328</v>
      </c>
      <c r="B183" s="3">
        <v>45663</v>
      </c>
      <c r="C183" s="1" t="s">
        <v>42</v>
      </c>
      <c r="D183" s="1" t="s">
        <v>43</v>
      </c>
      <c r="E183" s="1" t="s">
        <v>105</v>
      </c>
      <c r="F183" s="1" t="s">
        <v>106</v>
      </c>
      <c r="G183" s="1" t="s">
        <v>46</v>
      </c>
      <c r="H183" s="4">
        <v>3</v>
      </c>
      <c r="I183" s="4">
        <v>299.99</v>
      </c>
      <c r="J183" s="1" t="s">
        <v>20</v>
      </c>
      <c r="K183" s="1" t="s">
        <v>35</v>
      </c>
      <c r="L183" s="1" t="s">
        <v>36</v>
      </c>
      <c r="M183" s="3">
        <v>44422</v>
      </c>
      <c r="N183" s="4">
        <v>899.97</v>
      </c>
    </row>
    <row r="184" spans="1:14" ht="15.75" thickBot="1" x14ac:dyDescent="0.3">
      <c r="A184" s="1" t="s">
        <v>329</v>
      </c>
      <c r="B184" s="3">
        <v>45666</v>
      </c>
      <c r="C184" s="1" t="s">
        <v>65</v>
      </c>
      <c r="D184" s="1" t="s">
        <v>66</v>
      </c>
      <c r="E184" s="1" t="s">
        <v>80</v>
      </c>
      <c r="F184" s="1" t="s">
        <v>81</v>
      </c>
      <c r="G184" s="1" t="s">
        <v>19</v>
      </c>
      <c r="H184" s="4">
        <v>3</v>
      </c>
      <c r="I184" s="4">
        <v>699.99</v>
      </c>
      <c r="J184" s="1" t="s">
        <v>26</v>
      </c>
      <c r="K184" s="1" t="s">
        <v>21</v>
      </c>
      <c r="L184" s="1" t="s">
        <v>27</v>
      </c>
      <c r="M184" s="3">
        <v>45105</v>
      </c>
      <c r="N184" s="4">
        <v>2099.9699999999998</v>
      </c>
    </row>
    <row r="185" spans="1:14" ht="15.75" thickBot="1" x14ac:dyDescent="0.3">
      <c r="A185" s="1" t="s">
        <v>330</v>
      </c>
      <c r="B185" s="3">
        <v>45667</v>
      </c>
      <c r="C185" s="1" t="s">
        <v>108</v>
      </c>
      <c r="D185" s="1" t="s">
        <v>109</v>
      </c>
      <c r="E185" s="1" t="s">
        <v>126</v>
      </c>
      <c r="F185" s="1" t="s">
        <v>127</v>
      </c>
      <c r="G185" s="1" t="s">
        <v>46</v>
      </c>
      <c r="H185" s="4">
        <v>5</v>
      </c>
      <c r="I185" s="4">
        <v>199.99</v>
      </c>
      <c r="J185" s="1" t="s">
        <v>34</v>
      </c>
      <c r="K185" s="1" t="s">
        <v>21</v>
      </c>
      <c r="L185" s="1" t="s">
        <v>36</v>
      </c>
      <c r="M185" s="3">
        <v>44633</v>
      </c>
      <c r="N185" s="4">
        <v>999.95</v>
      </c>
    </row>
    <row r="186" spans="1:14" ht="15.75" thickBot="1" x14ac:dyDescent="0.3">
      <c r="A186" s="1" t="s">
        <v>331</v>
      </c>
      <c r="B186" s="3">
        <v>45667</v>
      </c>
      <c r="C186" s="1" t="s">
        <v>93</v>
      </c>
      <c r="D186" s="1" t="s">
        <v>94</v>
      </c>
      <c r="E186" s="1" t="s">
        <v>17</v>
      </c>
      <c r="F186" s="1" t="s">
        <v>18</v>
      </c>
      <c r="G186" s="1" t="s">
        <v>19</v>
      </c>
      <c r="H186" s="4">
        <v>5</v>
      </c>
      <c r="I186" s="4">
        <v>249.99</v>
      </c>
      <c r="J186" s="1" t="s">
        <v>26</v>
      </c>
      <c r="K186" s="1" t="s">
        <v>35</v>
      </c>
      <c r="L186" s="1" t="s">
        <v>22</v>
      </c>
      <c r="M186" s="3">
        <v>45330</v>
      </c>
      <c r="N186" s="4">
        <v>1249.95</v>
      </c>
    </row>
    <row r="187" spans="1:14" ht="15.75" thickBot="1" x14ac:dyDescent="0.3">
      <c r="A187" s="1" t="s">
        <v>332</v>
      </c>
      <c r="B187" s="3">
        <v>45668</v>
      </c>
      <c r="C187" s="1" t="s">
        <v>138</v>
      </c>
      <c r="D187" s="1" t="s">
        <v>139</v>
      </c>
      <c r="E187" s="1" t="s">
        <v>52</v>
      </c>
      <c r="F187" s="1" t="s">
        <v>53</v>
      </c>
      <c r="G187" s="1" t="s">
        <v>19</v>
      </c>
      <c r="H187" s="4">
        <v>4</v>
      </c>
      <c r="I187" s="4">
        <v>149.99</v>
      </c>
      <c r="J187" s="1" t="s">
        <v>57</v>
      </c>
      <c r="K187" s="1" t="s">
        <v>63</v>
      </c>
      <c r="L187" s="1" t="s">
        <v>36</v>
      </c>
      <c r="M187" s="3">
        <v>44536</v>
      </c>
      <c r="N187" s="4">
        <v>599.96</v>
      </c>
    </row>
    <row r="188" spans="1:14" ht="15.75" thickBot="1" x14ac:dyDescent="0.3">
      <c r="A188" s="1" t="s">
        <v>333</v>
      </c>
      <c r="B188" s="3">
        <v>45668</v>
      </c>
      <c r="C188" s="1" t="s">
        <v>78</v>
      </c>
      <c r="D188" s="1" t="s">
        <v>79</v>
      </c>
      <c r="E188" s="1" t="s">
        <v>80</v>
      </c>
      <c r="F188" s="1" t="s">
        <v>81</v>
      </c>
      <c r="G188" s="1" t="s">
        <v>19</v>
      </c>
      <c r="H188" s="4">
        <v>3</v>
      </c>
      <c r="I188" s="4">
        <v>699.99</v>
      </c>
      <c r="J188" s="1" t="s">
        <v>20</v>
      </c>
      <c r="K188" s="1" t="s">
        <v>40</v>
      </c>
      <c r="L188" s="1" t="s">
        <v>27</v>
      </c>
      <c r="M188" s="3">
        <v>44602</v>
      </c>
      <c r="N188" s="4">
        <v>2099.9699999999998</v>
      </c>
    </row>
    <row r="189" spans="1:14" ht="15.75" thickBot="1" x14ac:dyDescent="0.3">
      <c r="A189" s="1" t="s">
        <v>334</v>
      </c>
      <c r="B189" s="3">
        <v>45670</v>
      </c>
      <c r="C189" s="1" t="s">
        <v>293</v>
      </c>
      <c r="D189" s="1" t="s">
        <v>294</v>
      </c>
      <c r="E189" s="1" t="s">
        <v>114</v>
      </c>
      <c r="F189" s="1" t="s">
        <v>115</v>
      </c>
      <c r="G189" s="1" t="s">
        <v>33</v>
      </c>
      <c r="H189" s="4">
        <v>1</v>
      </c>
      <c r="I189" s="4">
        <v>79.989999999999995</v>
      </c>
      <c r="J189" s="1" t="s">
        <v>26</v>
      </c>
      <c r="K189" s="1" t="s">
        <v>35</v>
      </c>
      <c r="L189" s="1" t="s">
        <v>22</v>
      </c>
      <c r="M189" s="3">
        <v>45322</v>
      </c>
      <c r="N189" s="4">
        <v>79.989999999999995</v>
      </c>
    </row>
    <row r="190" spans="1:14" ht="15.75" thickBot="1" x14ac:dyDescent="0.3">
      <c r="A190" s="1" t="s">
        <v>335</v>
      </c>
      <c r="B190" s="3">
        <v>45670</v>
      </c>
      <c r="C190" s="1" t="s">
        <v>86</v>
      </c>
      <c r="D190" s="1" t="s">
        <v>87</v>
      </c>
      <c r="E190" s="1" t="s">
        <v>105</v>
      </c>
      <c r="F190" s="1" t="s">
        <v>106</v>
      </c>
      <c r="G190" s="1" t="s">
        <v>46</v>
      </c>
      <c r="H190" s="4">
        <v>1</v>
      </c>
      <c r="I190" s="4">
        <v>299.99</v>
      </c>
      <c r="J190" s="1" t="s">
        <v>26</v>
      </c>
      <c r="K190" s="1" t="s">
        <v>40</v>
      </c>
      <c r="L190" s="1" t="s">
        <v>22</v>
      </c>
      <c r="M190" s="3">
        <v>44436</v>
      </c>
      <c r="N190" s="4">
        <v>299.99</v>
      </c>
    </row>
    <row r="191" spans="1:14" ht="15.75" thickBot="1" x14ac:dyDescent="0.3">
      <c r="A191" s="1" t="s">
        <v>336</v>
      </c>
      <c r="B191" s="3">
        <v>45671</v>
      </c>
      <c r="C191" s="1" t="s">
        <v>158</v>
      </c>
      <c r="D191" s="1" t="s">
        <v>159</v>
      </c>
      <c r="E191" s="1" t="s">
        <v>17</v>
      </c>
      <c r="F191" s="1" t="s">
        <v>18</v>
      </c>
      <c r="G191" s="1" t="s">
        <v>19</v>
      </c>
      <c r="H191" s="4">
        <v>4</v>
      </c>
      <c r="I191" s="4">
        <v>249.99</v>
      </c>
      <c r="J191" s="1" t="s">
        <v>26</v>
      </c>
      <c r="K191" s="1" t="s">
        <v>40</v>
      </c>
      <c r="L191" s="1" t="s">
        <v>27</v>
      </c>
      <c r="M191" s="3">
        <v>44460</v>
      </c>
      <c r="N191" s="4">
        <v>999.96</v>
      </c>
    </row>
    <row r="192" spans="1:14" ht="15.75" thickBot="1" x14ac:dyDescent="0.3">
      <c r="A192" s="1" t="s">
        <v>337</v>
      </c>
      <c r="B192" s="3">
        <v>45671</v>
      </c>
      <c r="C192" s="1" t="s">
        <v>120</v>
      </c>
      <c r="D192" s="1" t="s">
        <v>121</v>
      </c>
      <c r="E192" s="1" t="s">
        <v>52</v>
      </c>
      <c r="F192" s="1" t="s">
        <v>53</v>
      </c>
      <c r="G192" s="1" t="s">
        <v>19</v>
      </c>
      <c r="H192" s="4">
        <v>2</v>
      </c>
      <c r="I192" s="4">
        <v>149.99</v>
      </c>
      <c r="J192" s="1" t="s">
        <v>20</v>
      </c>
      <c r="K192" s="1" t="s">
        <v>40</v>
      </c>
      <c r="L192" s="1" t="s">
        <v>36</v>
      </c>
      <c r="M192" s="3">
        <v>44913</v>
      </c>
      <c r="N192" s="4">
        <v>299.98</v>
      </c>
    </row>
    <row r="193" spans="1:14" ht="15.75" thickBot="1" x14ac:dyDescent="0.3">
      <c r="A193" s="1" t="s">
        <v>338</v>
      </c>
      <c r="B193" s="3">
        <v>45671</v>
      </c>
      <c r="C193" s="1" t="s">
        <v>234</v>
      </c>
      <c r="D193" s="1" t="s">
        <v>235</v>
      </c>
      <c r="E193" s="1" t="s">
        <v>105</v>
      </c>
      <c r="F193" s="1" t="s">
        <v>106</v>
      </c>
      <c r="G193" s="1" t="s">
        <v>46</v>
      </c>
      <c r="H193" s="4">
        <v>3</v>
      </c>
      <c r="I193" s="4">
        <v>299.99</v>
      </c>
      <c r="J193" s="1" t="s">
        <v>26</v>
      </c>
      <c r="K193" s="1" t="s">
        <v>35</v>
      </c>
      <c r="L193" s="1" t="s">
        <v>22</v>
      </c>
      <c r="M193" s="3">
        <v>45204</v>
      </c>
      <c r="N193" s="4">
        <v>899.97</v>
      </c>
    </row>
    <row r="194" spans="1:14" ht="15.75" thickBot="1" x14ac:dyDescent="0.3">
      <c r="A194" s="1" t="s">
        <v>339</v>
      </c>
      <c r="B194" s="3">
        <v>45673</v>
      </c>
      <c r="C194" s="1" t="s">
        <v>226</v>
      </c>
      <c r="D194" s="1" t="s">
        <v>227</v>
      </c>
      <c r="E194" s="1" t="s">
        <v>126</v>
      </c>
      <c r="F194" s="1" t="s">
        <v>127</v>
      </c>
      <c r="G194" s="1" t="s">
        <v>46</v>
      </c>
      <c r="H194" s="4">
        <v>4</v>
      </c>
      <c r="I194" s="4">
        <v>199.99</v>
      </c>
      <c r="J194" s="1" t="s">
        <v>57</v>
      </c>
      <c r="K194" s="1" t="s">
        <v>35</v>
      </c>
      <c r="L194" s="1" t="s">
        <v>36</v>
      </c>
      <c r="M194" s="3">
        <v>44544</v>
      </c>
      <c r="N194" s="4">
        <v>799.96</v>
      </c>
    </row>
    <row r="195" spans="1:14" ht="15.75" thickBot="1" x14ac:dyDescent="0.3">
      <c r="A195" s="1" t="s">
        <v>340</v>
      </c>
      <c r="B195" s="3">
        <v>45673</v>
      </c>
      <c r="C195" s="1" t="s">
        <v>211</v>
      </c>
      <c r="D195" s="1" t="s">
        <v>212</v>
      </c>
      <c r="E195" s="1" t="s">
        <v>105</v>
      </c>
      <c r="F195" s="1" t="s">
        <v>106</v>
      </c>
      <c r="G195" s="1" t="s">
        <v>46</v>
      </c>
      <c r="H195" s="4">
        <v>5</v>
      </c>
      <c r="I195" s="4">
        <v>299.99</v>
      </c>
      <c r="J195" s="1" t="s">
        <v>57</v>
      </c>
      <c r="K195" s="1" t="s">
        <v>21</v>
      </c>
      <c r="L195" s="1" t="s">
        <v>22</v>
      </c>
      <c r="M195" s="3">
        <v>44431</v>
      </c>
      <c r="N195" s="4">
        <v>1499.95</v>
      </c>
    </row>
    <row r="196" spans="1:14" ht="15.75" thickBot="1" x14ac:dyDescent="0.3">
      <c r="A196" s="1" t="s">
        <v>341</v>
      </c>
      <c r="B196" s="3">
        <v>45673</v>
      </c>
      <c r="C196" s="1" t="s">
        <v>59</v>
      </c>
      <c r="D196" s="1" t="s">
        <v>60</v>
      </c>
      <c r="E196" s="1" t="s">
        <v>44</v>
      </c>
      <c r="F196" s="1" t="s">
        <v>45</v>
      </c>
      <c r="G196" s="1" t="s">
        <v>46</v>
      </c>
      <c r="H196" s="4">
        <v>3</v>
      </c>
      <c r="I196" s="4">
        <v>149.99</v>
      </c>
      <c r="J196" s="1" t="s">
        <v>26</v>
      </c>
      <c r="K196" s="1" t="s">
        <v>63</v>
      </c>
      <c r="L196" s="1" t="s">
        <v>36</v>
      </c>
      <c r="M196" s="3">
        <v>44395</v>
      </c>
      <c r="N196" s="4">
        <v>449.97</v>
      </c>
    </row>
    <row r="197" spans="1:14" ht="15.75" thickBot="1" x14ac:dyDescent="0.3">
      <c r="A197" s="1" t="s">
        <v>342</v>
      </c>
      <c r="B197" s="3">
        <v>45676</v>
      </c>
      <c r="C197" s="1" t="s">
        <v>129</v>
      </c>
      <c r="D197" s="1" t="s">
        <v>130</v>
      </c>
      <c r="E197" s="1" t="s">
        <v>31</v>
      </c>
      <c r="F197" s="1" t="s">
        <v>32</v>
      </c>
      <c r="G197" s="1" t="s">
        <v>33</v>
      </c>
      <c r="H197" s="4">
        <v>5</v>
      </c>
      <c r="I197" s="4">
        <v>59.99</v>
      </c>
      <c r="J197" s="1" t="s">
        <v>57</v>
      </c>
      <c r="K197" s="1" t="s">
        <v>63</v>
      </c>
      <c r="L197" s="1" t="s">
        <v>22</v>
      </c>
      <c r="M197" s="3">
        <v>44642</v>
      </c>
      <c r="N197" s="4">
        <v>299.95</v>
      </c>
    </row>
    <row r="198" spans="1:14" ht="15.75" thickBot="1" x14ac:dyDescent="0.3">
      <c r="A198" s="1" t="s">
        <v>343</v>
      </c>
      <c r="B198" s="3">
        <v>45682</v>
      </c>
      <c r="C198" s="1" t="s">
        <v>68</v>
      </c>
      <c r="D198" s="1" t="s">
        <v>69</v>
      </c>
      <c r="E198" s="1" t="s">
        <v>31</v>
      </c>
      <c r="F198" s="1" t="s">
        <v>32</v>
      </c>
      <c r="G198" s="1" t="s">
        <v>33</v>
      </c>
      <c r="H198" s="4">
        <v>4</v>
      </c>
      <c r="I198" s="4">
        <v>59.99</v>
      </c>
      <c r="J198" s="1" t="s">
        <v>57</v>
      </c>
      <c r="K198" s="1" t="s">
        <v>63</v>
      </c>
      <c r="L198" s="1" t="s">
        <v>36</v>
      </c>
      <c r="M198" s="3">
        <v>44564</v>
      </c>
      <c r="N198" s="4">
        <v>239.96</v>
      </c>
    </row>
    <row r="199" spans="1:14" ht="15.75" thickBot="1" x14ac:dyDescent="0.3">
      <c r="A199" s="1" t="s">
        <v>344</v>
      </c>
      <c r="B199" s="3">
        <v>45683</v>
      </c>
      <c r="C199" s="1" t="s">
        <v>48</v>
      </c>
      <c r="D199" s="1" t="s">
        <v>49</v>
      </c>
      <c r="E199" s="1" t="s">
        <v>17</v>
      </c>
      <c r="F199" s="1" t="s">
        <v>18</v>
      </c>
      <c r="G199" s="1" t="s">
        <v>19</v>
      </c>
      <c r="H199" s="4">
        <v>4</v>
      </c>
      <c r="I199" s="4">
        <v>249.99</v>
      </c>
      <c r="J199" s="1" t="s">
        <v>57</v>
      </c>
      <c r="K199" s="1" t="s">
        <v>21</v>
      </c>
      <c r="L199" s="1" t="s">
        <v>27</v>
      </c>
      <c r="M199" s="3">
        <v>45217</v>
      </c>
      <c r="N199" s="4">
        <v>999.96</v>
      </c>
    </row>
    <row r="200" spans="1:14" ht="15.75" thickBot="1" x14ac:dyDescent="0.3">
      <c r="A200" s="1" t="s">
        <v>345</v>
      </c>
      <c r="B200" s="3">
        <v>45686</v>
      </c>
      <c r="C200" s="1" t="s">
        <v>252</v>
      </c>
      <c r="D200" s="1" t="s">
        <v>253</v>
      </c>
      <c r="E200" s="1" t="s">
        <v>61</v>
      </c>
      <c r="F200" s="1" t="s">
        <v>62</v>
      </c>
      <c r="G200" s="1" t="s">
        <v>19</v>
      </c>
      <c r="H200" s="4">
        <v>4</v>
      </c>
      <c r="I200" s="4">
        <v>899.99</v>
      </c>
      <c r="J200" s="1" t="s">
        <v>34</v>
      </c>
      <c r="K200" s="1" t="s">
        <v>21</v>
      </c>
      <c r="L200" s="1" t="s">
        <v>22</v>
      </c>
      <c r="M200" s="3">
        <v>44734</v>
      </c>
      <c r="N200" s="4">
        <v>3599.96</v>
      </c>
    </row>
    <row r="201" spans="1:14" ht="15.75" thickBot="1" x14ac:dyDescent="0.3">
      <c r="A201" s="1" t="s">
        <v>346</v>
      </c>
      <c r="B201" s="3">
        <v>45686</v>
      </c>
      <c r="C201" s="1" t="s">
        <v>86</v>
      </c>
      <c r="D201" s="1" t="s">
        <v>87</v>
      </c>
      <c r="E201" s="1" t="s">
        <v>105</v>
      </c>
      <c r="F201" s="1" t="s">
        <v>106</v>
      </c>
      <c r="G201" s="1" t="s">
        <v>46</v>
      </c>
      <c r="H201" s="4">
        <v>3</v>
      </c>
      <c r="I201" s="4">
        <v>299.99</v>
      </c>
      <c r="J201" s="1" t="s">
        <v>57</v>
      </c>
      <c r="K201" s="1" t="s">
        <v>50</v>
      </c>
      <c r="L201" s="1" t="s">
        <v>36</v>
      </c>
      <c r="M201" s="3">
        <v>44952</v>
      </c>
      <c r="N201" s="4">
        <v>899.97</v>
      </c>
    </row>
    <row r="202" spans="1:14" ht="15.75" thickBot="1" x14ac:dyDescent="0.3">
      <c r="A202" s="1" t="s">
        <v>347</v>
      </c>
      <c r="B202" s="3">
        <v>45686</v>
      </c>
      <c r="C202" s="1" t="s">
        <v>293</v>
      </c>
      <c r="D202" s="1" t="s">
        <v>294</v>
      </c>
      <c r="E202" s="1" t="s">
        <v>80</v>
      </c>
      <c r="F202" s="1" t="s">
        <v>81</v>
      </c>
      <c r="G202" s="1" t="s">
        <v>19</v>
      </c>
      <c r="H202" s="4">
        <v>2</v>
      </c>
      <c r="I202" s="4">
        <v>699.99</v>
      </c>
      <c r="J202" s="1" t="s">
        <v>57</v>
      </c>
      <c r="K202" s="1" t="s">
        <v>21</v>
      </c>
      <c r="L202" s="1" t="s">
        <v>27</v>
      </c>
      <c r="M202" s="3">
        <v>44681</v>
      </c>
      <c r="N202" s="4">
        <v>1399.98</v>
      </c>
    </row>
    <row r="203" spans="1:14" ht="15.75" thickBot="1" x14ac:dyDescent="0.3">
      <c r="A203" s="1" t="s">
        <v>348</v>
      </c>
      <c r="B203" s="3">
        <v>45688</v>
      </c>
      <c r="C203" s="1" t="s">
        <v>65</v>
      </c>
      <c r="D203" s="1" t="s">
        <v>66</v>
      </c>
      <c r="E203" s="1" t="s">
        <v>80</v>
      </c>
      <c r="F203" s="1" t="s">
        <v>81</v>
      </c>
      <c r="G203" s="1" t="s">
        <v>19</v>
      </c>
      <c r="H203" s="4">
        <v>4</v>
      </c>
      <c r="I203" s="4">
        <v>699.99</v>
      </c>
      <c r="J203" s="1" t="s">
        <v>57</v>
      </c>
      <c r="K203" s="1" t="s">
        <v>50</v>
      </c>
      <c r="L203" s="1" t="s">
        <v>27</v>
      </c>
      <c r="M203" s="3">
        <v>44692</v>
      </c>
      <c r="N203" s="4">
        <v>2799.96</v>
      </c>
    </row>
    <row r="204" spans="1:14" ht="15.75" thickBot="1" x14ac:dyDescent="0.3">
      <c r="A204" s="1" t="s">
        <v>349</v>
      </c>
      <c r="B204" s="3">
        <v>45688</v>
      </c>
      <c r="C204" s="1" t="s">
        <v>123</v>
      </c>
      <c r="D204" s="1" t="s">
        <v>124</v>
      </c>
      <c r="E204" s="1" t="s">
        <v>117</v>
      </c>
      <c r="F204" s="1" t="s">
        <v>118</v>
      </c>
      <c r="G204" s="1" t="s">
        <v>19</v>
      </c>
      <c r="H204" s="4">
        <v>2</v>
      </c>
      <c r="I204" s="4">
        <v>89.99</v>
      </c>
      <c r="J204" s="1" t="s">
        <v>57</v>
      </c>
      <c r="K204" s="1" t="s">
        <v>35</v>
      </c>
      <c r="L204" s="1" t="s">
        <v>22</v>
      </c>
      <c r="M204" s="3">
        <v>44777</v>
      </c>
      <c r="N204" s="4">
        <v>179.98</v>
      </c>
    </row>
    <row r="205" spans="1:14" ht="15.75" thickBot="1" x14ac:dyDescent="0.3">
      <c r="A205" s="1" t="s">
        <v>350</v>
      </c>
      <c r="B205" s="3">
        <v>45688</v>
      </c>
      <c r="C205" s="1" t="s">
        <v>42</v>
      </c>
      <c r="D205" s="1" t="s">
        <v>43</v>
      </c>
      <c r="E205" s="1" t="s">
        <v>117</v>
      </c>
      <c r="F205" s="1" t="s">
        <v>118</v>
      </c>
      <c r="G205" s="1" t="s">
        <v>19</v>
      </c>
      <c r="H205" s="4">
        <v>3</v>
      </c>
      <c r="I205" s="4">
        <v>89.99</v>
      </c>
      <c r="J205" s="1" t="s">
        <v>57</v>
      </c>
      <c r="K205" s="1" t="s">
        <v>35</v>
      </c>
      <c r="L205" s="1" t="s">
        <v>27</v>
      </c>
      <c r="M205" s="3">
        <v>45307</v>
      </c>
      <c r="N205" s="4">
        <v>269.97000000000003</v>
      </c>
    </row>
    <row r="206" spans="1:14" ht="15.75" thickBot="1" x14ac:dyDescent="0.3">
      <c r="A206" s="1" t="s">
        <v>351</v>
      </c>
      <c r="B206" s="3">
        <v>45692</v>
      </c>
      <c r="C206" s="1" t="s">
        <v>325</v>
      </c>
      <c r="D206" s="1" t="s">
        <v>326</v>
      </c>
      <c r="E206" s="1" t="s">
        <v>31</v>
      </c>
      <c r="F206" s="1" t="s">
        <v>32</v>
      </c>
      <c r="G206" s="1" t="s">
        <v>33</v>
      </c>
      <c r="H206" s="4">
        <v>1</v>
      </c>
      <c r="I206" s="4">
        <v>59.99</v>
      </c>
      <c r="J206" s="1" t="s">
        <v>57</v>
      </c>
      <c r="K206" s="1" t="s">
        <v>21</v>
      </c>
      <c r="L206" s="1" t="s">
        <v>36</v>
      </c>
      <c r="M206" s="3">
        <v>45045</v>
      </c>
      <c r="N206" s="4">
        <v>59.99</v>
      </c>
    </row>
    <row r="207" spans="1:14" ht="15.75" thickBot="1" x14ac:dyDescent="0.3">
      <c r="A207" s="1" t="s">
        <v>352</v>
      </c>
      <c r="B207" s="3">
        <v>45695</v>
      </c>
      <c r="C207" s="1" t="s">
        <v>246</v>
      </c>
      <c r="D207" s="1" t="s">
        <v>247</v>
      </c>
      <c r="E207" s="1" t="s">
        <v>44</v>
      </c>
      <c r="F207" s="1" t="s">
        <v>45</v>
      </c>
      <c r="G207" s="1" t="s">
        <v>46</v>
      </c>
      <c r="H207" s="4">
        <v>3</v>
      </c>
      <c r="I207" s="4">
        <v>149.99</v>
      </c>
      <c r="J207" s="1" t="s">
        <v>57</v>
      </c>
      <c r="K207" s="1" t="s">
        <v>40</v>
      </c>
      <c r="L207" s="1" t="s">
        <v>27</v>
      </c>
      <c r="M207" s="3">
        <v>44564</v>
      </c>
      <c r="N207" s="4">
        <v>449.97</v>
      </c>
    </row>
    <row r="208" spans="1:14" ht="15.75" thickBot="1" x14ac:dyDescent="0.3">
      <c r="A208" s="1" t="s">
        <v>353</v>
      </c>
      <c r="B208" s="3">
        <v>45695</v>
      </c>
      <c r="C208" s="1" t="s">
        <v>93</v>
      </c>
      <c r="D208" s="1" t="s">
        <v>94</v>
      </c>
      <c r="E208" s="1" t="s">
        <v>105</v>
      </c>
      <c r="F208" s="1" t="s">
        <v>106</v>
      </c>
      <c r="G208" s="1" t="s">
        <v>46</v>
      </c>
      <c r="H208" s="4">
        <v>5</v>
      </c>
      <c r="I208" s="4">
        <v>299.99</v>
      </c>
      <c r="J208" s="1" t="s">
        <v>26</v>
      </c>
      <c r="K208" s="1" t="s">
        <v>35</v>
      </c>
      <c r="L208" s="1" t="s">
        <v>22</v>
      </c>
      <c r="M208" s="3">
        <v>44959</v>
      </c>
      <c r="N208" s="4">
        <v>1499.95</v>
      </c>
    </row>
    <row r="209" spans="1:14" ht="15.75" thickBot="1" x14ac:dyDescent="0.3">
      <c r="A209" s="1" t="s">
        <v>354</v>
      </c>
      <c r="B209" s="3">
        <v>45696</v>
      </c>
      <c r="C209" s="1" t="s">
        <v>150</v>
      </c>
      <c r="D209" s="1" t="s">
        <v>151</v>
      </c>
      <c r="E209" s="1" t="s">
        <v>31</v>
      </c>
      <c r="F209" s="1" t="s">
        <v>32</v>
      </c>
      <c r="G209" s="1" t="s">
        <v>33</v>
      </c>
      <c r="H209" s="4">
        <v>5</v>
      </c>
      <c r="I209" s="4">
        <v>59.99</v>
      </c>
      <c r="J209" s="1" t="s">
        <v>57</v>
      </c>
      <c r="K209" s="1" t="s">
        <v>21</v>
      </c>
      <c r="L209" s="1" t="s">
        <v>36</v>
      </c>
      <c r="M209" s="3">
        <v>45177</v>
      </c>
      <c r="N209" s="4">
        <v>299.95</v>
      </c>
    </row>
    <row r="210" spans="1:14" ht="15.75" thickBot="1" x14ac:dyDescent="0.3">
      <c r="A210" s="1" t="s">
        <v>355</v>
      </c>
      <c r="B210" s="3">
        <v>45701</v>
      </c>
      <c r="C210" s="1" t="s">
        <v>108</v>
      </c>
      <c r="D210" s="1" t="s">
        <v>109</v>
      </c>
      <c r="E210" s="1" t="s">
        <v>114</v>
      </c>
      <c r="F210" s="1" t="s">
        <v>115</v>
      </c>
      <c r="G210" s="1" t="s">
        <v>33</v>
      </c>
      <c r="H210" s="4">
        <v>3</v>
      </c>
      <c r="I210" s="4">
        <v>79.989999999999995</v>
      </c>
      <c r="J210" s="1" t="s">
        <v>20</v>
      </c>
      <c r="K210" s="1" t="s">
        <v>63</v>
      </c>
      <c r="L210" s="1" t="s">
        <v>27</v>
      </c>
      <c r="M210" s="3">
        <v>44436</v>
      </c>
      <c r="N210" s="4">
        <v>239.97</v>
      </c>
    </row>
    <row r="211" spans="1:14" ht="15.75" thickBot="1" x14ac:dyDescent="0.3">
      <c r="A211" s="1" t="s">
        <v>356</v>
      </c>
      <c r="B211" s="3">
        <v>45704</v>
      </c>
      <c r="C211" s="1" t="s">
        <v>29</v>
      </c>
      <c r="D211" s="1" t="s">
        <v>30</v>
      </c>
      <c r="E211" s="1" t="s">
        <v>126</v>
      </c>
      <c r="F211" s="1" t="s">
        <v>127</v>
      </c>
      <c r="G211" s="1" t="s">
        <v>46</v>
      </c>
      <c r="H211" s="4">
        <v>3</v>
      </c>
      <c r="I211" s="4">
        <v>199.99</v>
      </c>
      <c r="J211" s="1" t="s">
        <v>20</v>
      </c>
      <c r="K211" s="1" t="s">
        <v>21</v>
      </c>
      <c r="L211" s="1" t="s">
        <v>22</v>
      </c>
      <c r="M211" s="3">
        <v>44735</v>
      </c>
      <c r="N211" s="4">
        <v>599.97</v>
      </c>
    </row>
    <row r="212" spans="1:14" ht="15.75" thickBot="1" x14ac:dyDescent="0.3">
      <c r="A212" s="1" t="s">
        <v>357</v>
      </c>
      <c r="B212" s="3">
        <v>45704</v>
      </c>
      <c r="C212" s="1" t="s">
        <v>15</v>
      </c>
      <c r="D212" s="1" t="s">
        <v>16</v>
      </c>
      <c r="E212" s="1" t="s">
        <v>117</v>
      </c>
      <c r="F212" s="1" t="s">
        <v>118</v>
      </c>
      <c r="G212" s="1" t="s">
        <v>19</v>
      </c>
      <c r="H212" s="4">
        <v>2</v>
      </c>
      <c r="I212" s="4">
        <v>89.99</v>
      </c>
      <c r="J212" s="1" t="s">
        <v>34</v>
      </c>
      <c r="K212" s="1" t="s">
        <v>21</v>
      </c>
      <c r="L212" s="1" t="s">
        <v>22</v>
      </c>
      <c r="M212" s="3">
        <v>45257</v>
      </c>
      <c r="N212" s="4">
        <v>179.98</v>
      </c>
    </row>
    <row r="213" spans="1:14" ht="15.75" thickBot="1" x14ac:dyDescent="0.3">
      <c r="A213" s="1" t="s">
        <v>358</v>
      </c>
      <c r="B213" s="3">
        <v>45705</v>
      </c>
      <c r="C213" s="1" t="s">
        <v>259</v>
      </c>
      <c r="D213" s="1" t="s">
        <v>260</v>
      </c>
      <c r="E213" s="1" t="s">
        <v>44</v>
      </c>
      <c r="F213" s="1" t="s">
        <v>45</v>
      </c>
      <c r="G213" s="1" t="s">
        <v>46</v>
      </c>
      <c r="H213" s="4">
        <v>2</v>
      </c>
      <c r="I213" s="4">
        <v>149.99</v>
      </c>
      <c r="J213" s="1" t="s">
        <v>20</v>
      </c>
      <c r="K213" s="1" t="s">
        <v>35</v>
      </c>
      <c r="L213" s="1" t="s">
        <v>27</v>
      </c>
      <c r="M213" s="3">
        <v>44728</v>
      </c>
      <c r="N213" s="4">
        <v>299.98</v>
      </c>
    </row>
    <row r="214" spans="1:14" ht="15.75" thickBot="1" x14ac:dyDescent="0.3">
      <c r="A214" s="1" t="s">
        <v>359</v>
      </c>
      <c r="B214" s="3">
        <v>45707</v>
      </c>
      <c r="C214" s="1" t="s">
        <v>123</v>
      </c>
      <c r="D214" s="1" t="s">
        <v>124</v>
      </c>
      <c r="E214" s="1" t="s">
        <v>80</v>
      </c>
      <c r="F214" s="1" t="s">
        <v>81</v>
      </c>
      <c r="G214" s="1" t="s">
        <v>19</v>
      </c>
      <c r="H214" s="4">
        <v>5</v>
      </c>
      <c r="I214" s="4">
        <v>699.99</v>
      </c>
      <c r="J214" s="1" t="s">
        <v>34</v>
      </c>
      <c r="K214" s="1" t="s">
        <v>35</v>
      </c>
      <c r="L214" s="1" t="s">
        <v>27</v>
      </c>
      <c r="M214" s="3">
        <v>45352</v>
      </c>
      <c r="N214" s="4">
        <v>3499.95</v>
      </c>
    </row>
    <row r="215" spans="1:14" ht="15.75" thickBot="1" x14ac:dyDescent="0.3">
      <c r="A215" s="1" t="s">
        <v>360</v>
      </c>
      <c r="B215" s="3">
        <v>45707</v>
      </c>
      <c r="C215" s="1" t="s">
        <v>42</v>
      </c>
      <c r="D215" s="1" t="s">
        <v>43</v>
      </c>
      <c r="E215" s="1" t="s">
        <v>44</v>
      </c>
      <c r="F215" s="1" t="s">
        <v>45</v>
      </c>
      <c r="G215" s="1" t="s">
        <v>46</v>
      </c>
      <c r="H215" s="4">
        <v>3</v>
      </c>
      <c r="I215" s="4">
        <v>149.99</v>
      </c>
      <c r="J215" s="1" t="s">
        <v>34</v>
      </c>
      <c r="K215" s="1" t="s">
        <v>21</v>
      </c>
      <c r="L215" s="1" t="s">
        <v>36</v>
      </c>
      <c r="M215" s="3">
        <v>44633</v>
      </c>
      <c r="N215" s="4">
        <v>449.97</v>
      </c>
    </row>
    <row r="216" spans="1:14" ht="15.75" thickBot="1" x14ac:dyDescent="0.3">
      <c r="A216" s="1" t="s">
        <v>361</v>
      </c>
      <c r="B216" s="3">
        <v>45708</v>
      </c>
      <c r="C216" s="1" t="s">
        <v>96</v>
      </c>
      <c r="D216" s="1" t="s">
        <v>97</v>
      </c>
      <c r="E216" s="1" t="s">
        <v>61</v>
      </c>
      <c r="F216" s="1" t="s">
        <v>62</v>
      </c>
      <c r="G216" s="1" t="s">
        <v>19</v>
      </c>
      <c r="H216" s="4">
        <v>3</v>
      </c>
      <c r="I216" s="4">
        <v>899.99</v>
      </c>
      <c r="J216" s="1" t="s">
        <v>20</v>
      </c>
      <c r="K216" s="1" t="s">
        <v>63</v>
      </c>
      <c r="L216" s="1" t="s">
        <v>36</v>
      </c>
      <c r="M216" s="3">
        <v>44613</v>
      </c>
      <c r="N216" s="4">
        <v>2699.97</v>
      </c>
    </row>
    <row r="217" spans="1:14" ht="15.75" thickBot="1" x14ac:dyDescent="0.3">
      <c r="A217" s="1" t="s">
        <v>362</v>
      </c>
      <c r="B217" s="3">
        <v>45708</v>
      </c>
      <c r="C217" s="1" t="s">
        <v>192</v>
      </c>
      <c r="D217" s="1" t="s">
        <v>193</v>
      </c>
      <c r="E217" s="1" t="s">
        <v>126</v>
      </c>
      <c r="F217" s="1" t="s">
        <v>127</v>
      </c>
      <c r="G217" s="1" t="s">
        <v>46</v>
      </c>
      <c r="H217" s="4">
        <v>3</v>
      </c>
      <c r="I217" s="4">
        <v>199.99</v>
      </c>
      <c r="J217" s="1" t="s">
        <v>20</v>
      </c>
      <c r="K217" s="1" t="s">
        <v>50</v>
      </c>
      <c r="L217" s="1" t="s">
        <v>27</v>
      </c>
      <c r="M217" s="3">
        <v>44823</v>
      </c>
      <c r="N217" s="4">
        <v>599.97</v>
      </c>
    </row>
    <row r="218" spans="1:14" ht="15.75" thickBot="1" x14ac:dyDescent="0.3">
      <c r="A218" s="1" t="s">
        <v>363</v>
      </c>
      <c r="B218" s="3">
        <v>45710</v>
      </c>
      <c r="C218" s="1" t="s">
        <v>55</v>
      </c>
      <c r="D218" s="1" t="s">
        <v>56</v>
      </c>
      <c r="E218" s="1" t="s">
        <v>105</v>
      </c>
      <c r="F218" s="1" t="s">
        <v>106</v>
      </c>
      <c r="G218" s="1" t="s">
        <v>46</v>
      </c>
      <c r="H218" s="4">
        <v>5</v>
      </c>
      <c r="I218" s="4">
        <v>299.99</v>
      </c>
      <c r="J218" s="1" t="s">
        <v>20</v>
      </c>
      <c r="K218" s="1" t="s">
        <v>50</v>
      </c>
      <c r="L218" s="1" t="s">
        <v>36</v>
      </c>
      <c r="M218" s="3">
        <v>45142</v>
      </c>
      <c r="N218" s="4">
        <v>1499.95</v>
      </c>
    </row>
    <row r="219" spans="1:14" ht="15.75" thickBot="1" x14ac:dyDescent="0.3">
      <c r="A219" s="1" t="s">
        <v>364</v>
      </c>
      <c r="B219" s="3">
        <v>45710</v>
      </c>
      <c r="C219" s="1" t="s">
        <v>150</v>
      </c>
      <c r="D219" s="1" t="s">
        <v>151</v>
      </c>
      <c r="E219" s="1" t="s">
        <v>80</v>
      </c>
      <c r="F219" s="1" t="s">
        <v>81</v>
      </c>
      <c r="G219" s="1" t="s">
        <v>19</v>
      </c>
      <c r="H219" s="4">
        <v>1</v>
      </c>
      <c r="I219" s="4">
        <v>699.99</v>
      </c>
      <c r="J219" s="1" t="s">
        <v>34</v>
      </c>
      <c r="K219" s="1" t="s">
        <v>50</v>
      </c>
      <c r="L219" s="1" t="s">
        <v>22</v>
      </c>
      <c r="M219" s="3">
        <v>44934</v>
      </c>
      <c r="N219" s="4">
        <v>699.99</v>
      </c>
    </row>
    <row r="220" spans="1:14" ht="15.75" thickBot="1" x14ac:dyDescent="0.3">
      <c r="A220" s="1" t="s">
        <v>365</v>
      </c>
      <c r="B220" s="3">
        <v>45711</v>
      </c>
      <c r="C220" s="1" t="s">
        <v>246</v>
      </c>
      <c r="D220" s="1" t="s">
        <v>247</v>
      </c>
      <c r="E220" s="1" t="s">
        <v>80</v>
      </c>
      <c r="F220" s="1" t="s">
        <v>81</v>
      </c>
      <c r="G220" s="1" t="s">
        <v>19</v>
      </c>
      <c r="H220" s="4">
        <v>1</v>
      </c>
      <c r="I220" s="4">
        <v>699.99</v>
      </c>
      <c r="J220" s="1" t="s">
        <v>20</v>
      </c>
      <c r="K220" s="1" t="s">
        <v>40</v>
      </c>
      <c r="L220" s="1" t="s">
        <v>27</v>
      </c>
      <c r="M220" s="3">
        <v>44583</v>
      </c>
      <c r="N220" s="4">
        <v>699.99</v>
      </c>
    </row>
    <row r="221" spans="1:14" ht="15.75" thickBot="1" x14ac:dyDescent="0.3">
      <c r="A221" s="1" t="s">
        <v>366</v>
      </c>
      <c r="B221" s="3">
        <v>45711</v>
      </c>
      <c r="C221" s="1" t="s">
        <v>325</v>
      </c>
      <c r="D221" s="1" t="s">
        <v>326</v>
      </c>
      <c r="E221" s="1" t="s">
        <v>44</v>
      </c>
      <c r="F221" s="1" t="s">
        <v>45</v>
      </c>
      <c r="G221" s="1" t="s">
        <v>46</v>
      </c>
      <c r="H221" s="4">
        <v>4</v>
      </c>
      <c r="I221" s="4">
        <v>149.99</v>
      </c>
      <c r="J221" s="1" t="s">
        <v>34</v>
      </c>
      <c r="K221" s="1" t="s">
        <v>40</v>
      </c>
      <c r="L221" s="1" t="s">
        <v>27</v>
      </c>
      <c r="M221" s="3">
        <v>44412</v>
      </c>
      <c r="N221" s="4">
        <v>599.96</v>
      </c>
    </row>
    <row r="222" spans="1:14" ht="15.75" thickBot="1" x14ac:dyDescent="0.3">
      <c r="A222" s="1" t="s">
        <v>367</v>
      </c>
      <c r="B222" s="3">
        <v>45711</v>
      </c>
      <c r="C222" s="1" t="s">
        <v>211</v>
      </c>
      <c r="D222" s="1" t="s">
        <v>212</v>
      </c>
      <c r="E222" s="1" t="s">
        <v>117</v>
      </c>
      <c r="F222" s="1" t="s">
        <v>118</v>
      </c>
      <c r="G222" s="1" t="s">
        <v>19</v>
      </c>
      <c r="H222" s="4">
        <v>5</v>
      </c>
      <c r="I222" s="4">
        <v>89.99</v>
      </c>
      <c r="J222" s="1" t="s">
        <v>34</v>
      </c>
      <c r="K222" s="1" t="s">
        <v>50</v>
      </c>
      <c r="L222" s="1" t="s">
        <v>27</v>
      </c>
      <c r="M222" s="3">
        <v>45140</v>
      </c>
      <c r="N222" s="4">
        <v>449.95</v>
      </c>
    </row>
    <row r="223" spans="1:14" ht="15.75" thickBot="1" x14ac:dyDescent="0.3">
      <c r="A223" s="1" t="s">
        <v>368</v>
      </c>
      <c r="B223" s="3">
        <v>45712</v>
      </c>
      <c r="C223" s="1" t="s">
        <v>138</v>
      </c>
      <c r="D223" s="1" t="s">
        <v>139</v>
      </c>
      <c r="E223" s="1" t="s">
        <v>126</v>
      </c>
      <c r="F223" s="1" t="s">
        <v>127</v>
      </c>
      <c r="G223" s="1" t="s">
        <v>46</v>
      </c>
      <c r="H223" s="4">
        <v>2</v>
      </c>
      <c r="I223" s="4">
        <v>199.99</v>
      </c>
      <c r="J223" s="1" t="s">
        <v>20</v>
      </c>
      <c r="K223" s="1" t="s">
        <v>21</v>
      </c>
      <c r="L223" s="1" t="s">
        <v>27</v>
      </c>
      <c r="M223" s="3">
        <v>44573</v>
      </c>
      <c r="N223" s="4">
        <v>399.98</v>
      </c>
    </row>
    <row r="224" spans="1:14" ht="15.75" thickBot="1" x14ac:dyDescent="0.3">
      <c r="A224" s="1" t="s">
        <v>369</v>
      </c>
      <c r="B224" s="3">
        <v>45715</v>
      </c>
      <c r="C224" s="1" t="s">
        <v>259</v>
      </c>
      <c r="D224" s="1" t="s">
        <v>260</v>
      </c>
      <c r="E224" s="1" t="s">
        <v>31</v>
      </c>
      <c r="F224" s="1" t="s">
        <v>32</v>
      </c>
      <c r="G224" s="1" t="s">
        <v>33</v>
      </c>
      <c r="H224" s="4">
        <v>4</v>
      </c>
      <c r="I224" s="4">
        <v>59.99</v>
      </c>
      <c r="J224" s="1" t="s">
        <v>20</v>
      </c>
      <c r="K224" s="1" t="s">
        <v>50</v>
      </c>
      <c r="L224" s="1" t="s">
        <v>36</v>
      </c>
      <c r="M224" s="3">
        <v>45070</v>
      </c>
      <c r="N224" s="4">
        <v>239.96</v>
      </c>
    </row>
    <row r="225" spans="1:14" ht="15.75" thickBot="1" x14ac:dyDescent="0.3">
      <c r="A225" s="1" t="s">
        <v>370</v>
      </c>
      <c r="B225" s="3">
        <v>45715</v>
      </c>
      <c r="C225" s="1" t="s">
        <v>93</v>
      </c>
      <c r="D225" s="1" t="s">
        <v>94</v>
      </c>
      <c r="E225" s="1" t="s">
        <v>105</v>
      </c>
      <c r="F225" s="1" t="s">
        <v>106</v>
      </c>
      <c r="G225" s="1" t="s">
        <v>46</v>
      </c>
      <c r="H225" s="4">
        <v>2</v>
      </c>
      <c r="I225" s="4">
        <v>299.99</v>
      </c>
      <c r="J225" s="1" t="s">
        <v>34</v>
      </c>
      <c r="K225" s="1" t="s">
        <v>35</v>
      </c>
      <c r="L225" s="1" t="s">
        <v>22</v>
      </c>
      <c r="M225" s="3">
        <v>44576</v>
      </c>
      <c r="N225" s="4">
        <v>599.98</v>
      </c>
    </row>
    <row r="226" spans="1:14" ht="15.75" thickBot="1" x14ac:dyDescent="0.3">
      <c r="A226" s="1" t="s">
        <v>371</v>
      </c>
      <c r="B226" s="3">
        <v>45718</v>
      </c>
      <c r="C226" s="1" t="s">
        <v>55</v>
      </c>
      <c r="D226" s="1" t="s">
        <v>56</v>
      </c>
      <c r="E226" s="1" t="s">
        <v>44</v>
      </c>
      <c r="F226" s="1" t="s">
        <v>45</v>
      </c>
      <c r="G226" s="1" t="s">
        <v>46</v>
      </c>
      <c r="H226" s="4">
        <v>2</v>
      </c>
      <c r="I226" s="4">
        <v>149.99</v>
      </c>
      <c r="J226" s="1" t="s">
        <v>20</v>
      </c>
      <c r="K226" s="1" t="s">
        <v>21</v>
      </c>
      <c r="L226" s="1" t="s">
        <v>22</v>
      </c>
      <c r="M226" s="3">
        <v>45068</v>
      </c>
      <c r="N226" s="4">
        <v>299.98</v>
      </c>
    </row>
    <row r="227" spans="1:14" ht="15.75" thickBot="1" x14ac:dyDescent="0.3">
      <c r="A227" s="1" t="s">
        <v>372</v>
      </c>
      <c r="B227" s="3">
        <v>45720</v>
      </c>
      <c r="C227" s="1" t="s">
        <v>226</v>
      </c>
      <c r="D227" s="1" t="s">
        <v>227</v>
      </c>
      <c r="E227" s="1" t="s">
        <v>80</v>
      </c>
      <c r="F227" s="1" t="s">
        <v>81</v>
      </c>
      <c r="G227" s="1" t="s">
        <v>19</v>
      </c>
      <c r="H227" s="4">
        <v>5</v>
      </c>
      <c r="I227" s="4">
        <v>699.99</v>
      </c>
      <c r="J227" s="1" t="s">
        <v>57</v>
      </c>
      <c r="K227" s="1" t="s">
        <v>63</v>
      </c>
      <c r="L227" s="1" t="s">
        <v>27</v>
      </c>
      <c r="M227" s="3">
        <v>45161</v>
      </c>
      <c r="N227" s="4">
        <v>3499.95</v>
      </c>
    </row>
    <row r="228" spans="1:14" ht="15.75" thickBot="1" x14ac:dyDescent="0.3">
      <c r="A228" s="1" t="s">
        <v>373</v>
      </c>
      <c r="B228" s="3">
        <v>45721</v>
      </c>
      <c r="C228" s="1" t="s">
        <v>75</v>
      </c>
      <c r="D228" s="1" t="s">
        <v>76</v>
      </c>
      <c r="E228" s="1" t="s">
        <v>31</v>
      </c>
      <c r="F228" s="1" t="s">
        <v>32</v>
      </c>
      <c r="G228" s="1" t="s">
        <v>33</v>
      </c>
      <c r="H228" s="4">
        <v>5</v>
      </c>
      <c r="I228" s="4">
        <v>59.99</v>
      </c>
      <c r="J228" s="1" t="s">
        <v>20</v>
      </c>
      <c r="K228" s="1" t="s">
        <v>50</v>
      </c>
      <c r="L228" s="1" t="s">
        <v>27</v>
      </c>
      <c r="M228" s="3">
        <v>45291</v>
      </c>
      <c r="N228" s="4">
        <v>299.95</v>
      </c>
    </row>
    <row r="229" spans="1:14" ht="15.75" thickBot="1" x14ac:dyDescent="0.3">
      <c r="A229" s="1" t="s">
        <v>374</v>
      </c>
      <c r="B229" s="3">
        <v>45723</v>
      </c>
      <c r="C229" s="1" t="s">
        <v>15</v>
      </c>
      <c r="D229" s="1" t="s">
        <v>16</v>
      </c>
      <c r="E229" s="1" t="s">
        <v>117</v>
      </c>
      <c r="F229" s="1" t="s">
        <v>118</v>
      </c>
      <c r="G229" s="1" t="s">
        <v>19</v>
      </c>
      <c r="H229" s="4">
        <v>2</v>
      </c>
      <c r="I229" s="4">
        <v>89.99</v>
      </c>
      <c r="J229" s="1" t="s">
        <v>26</v>
      </c>
      <c r="K229" s="1" t="s">
        <v>50</v>
      </c>
      <c r="L229" s="1" t="s">
        <v>27</v>
      </c>
      <c r="M229" s="3">
        <v>45295</v>
      </c>
      <c r="N229" s="4">
        <v>179.98</v>
      </c>
    </row>
    <row r="230" spans="1:14" ht="15.75" thickBot="1" x14ac:dyDescent="0.3">
      <c r="A230" s="1" t="s">
        <v>375</v>
      </c>
      <c r="B230" s="3">
        <v>45723</v>
      </c>
      <c r="C230" s="1" t="s">
        <v>120</v>
      </c>
      <c r="D230" s="1" t="s">
        <v>121</v>
      </c>
      <c r="E230" s="1" t="s">
        <v>17</v>
      </c>
      <c r="F230" s="1" t="s">
        <v>18</v>
      </c>
      <c r="G230" s="1" t="s">
        <v>19</v>
      </c>
      <c r="H230" s="4">
        <v>5</v>
      </c>
      <c r="I230" s="4">
        <v>249.99</v>
      </c>
      <c r="J230" s="1" t="s">
        <v>20</v>
      </c>
      <c r="K230" s="1" t="s">
        <v>63</v>
      </c>
      <c r="L230" s="1" t="s">
        <v>36</v>
      </c>
      <c r="M230" s="3">
        <v>44540</v>
      </c>
      <c r="N230" s="4">
        <v>1249.95</v>
      </c>
    </row>
    <row r="231" spans="1:14" ht="15.75" thickBot="1" x14ac:dyDescent="0.3">
      <c r="A231" s="1" t="s">
        <v>376</v>
      </c>
      <c r="B231" s="3">
        <v>45724</v>
      </c>
      <c r="C231" s="1" t="s">
        <v>226</v>
      </c>
      <c r="D231" s="1" t="s">
        <v>227</v>
      </c>
      <c r="E231" s="1" t="s">
        <v>44</v>
      </c>
      <c r="F231" s="1" t="s">
        <v>45</v>
      </c>
      <c r="G231" s="1" t="s">
        <v>46</v>
      </c>
      <c r="H231" s="4">
        <v>2</v>
      </c>
      <c r="I231" s="4">
        <v>149.99</v>
      </c>
      <c r="J231" s="1" t="s">
        <v>34</v>
      </c>
      <c r="K231" s="1" t="s">
        <v>21</v>
      </c>
      <c r="L231" s="1" t="s">
        <v>27</v>
      </c>
      <c r="M231" s="3">
        <v>44632</v>
      </c>
      <c r="N231" s="4">
        <v>299.98</v>
      </c>
    </row>
    <row r="232" spans="1:14" ht="15.75" thickBot="1" x14ac:dyDescent="0.3">
      <c r="A232" s="1" t="s">
        <v>377</v>
      </c>
      <c r="B232" s="3">
        <v>45724</v>
      </c>
      <c r="C232" s="1" t="s">
        <v>144</v>
      </c>
      <c r="D232" s="1" t="s">
        <v>145</v>
      </c>
      <c r="E232" s="1" t="s">
        <v>61</v>
      </c>
      <c r="F232" s="1" t="s">
        <v>62</v>
      </c>
      <c r="G232" s="1" t="s">
        <v>19</v>
      </c>
      <c r="H232" s="4">
        <v>5</v>
      </c>
      <c r="I232" s="4">
        <v>899.99</v>
      </c>
      <c r="J232" s="1" t="s">
        <v>34</v>
      </c>
      <c r="K232" s="1" t="s">
        <v>63</v>
      </c>
      <c r="L232" s="1" t="s">
        <v>27</v>
      </c>
      <c r="M232" s="3">
        <v>45389</v>
      </c>
      <c r="N232" s="4">
        <v>4499.95</v>
      </c>
    </row>
    <row r="233" spans="1:14" ht="15.75" thickBot="1" x14ac:dyDescent="0.3">
      <c r="A233" s="1" t="s">
        <v>378</v>
      </c>
      <c r="B233" s="3">
        <v>45724</v>
      </c>
      <c r="C233" s="1" t="s">
        <v>55</v>
      </c>
      <c r="D233" s="1" t="s">
        <v>56</v>
      </c>
      <c r="E233" s="1" t="s">
        <v>44</v>
      </c>
      <c r="F233" s="1" t="s">
        <v>45</v>
      </c>
      <c r="G233" s="1" t="s">
        <v>46</v>
      </c>
      <c r="H233" s="4">
        <v>4</v>
      </c>
      <c r="I233" s="4">
        <v>149.99</v>
      </c>
      <c r="J233" s="1" t="s">
        <v>20</v>
      </c>
      <c r="K233" s="1" t="s">
        <v>21</v>
      </c>
      <c r="L233" s="1" t="s">
        <v>36</v>
      </c>
      <c r="M233" s="3">
        <v>45263</v>
      </c>
      <c r="N233" s="4">
        <v>599.96</v>
      </c>
    </row>
    <row r="234" spans="1:14" ht="15.75" thickBot="1" x14ac:dyDescent="0.3">
      <c r="A234" s="1" t="s">
        <v>379</v>
      </c>
      <c r="B234" s="3">
        <v>45726</v>
      </c>
      <c r="C234" s="1" t="s">
        <v>144</v>
      </c>
      <c r="D234" s="1" t="s">
        <v>145</v>
      </c>
      <c r="E234" s="1" t="s">
        <v>17</v>
      </c>
      <c r="F234" s="1" t="s">
        <v>18</v>
      </c>
      <c r="G234" s="1" t="s">
        <v>19</v>
      </c>
      <c r="H234" s="4">
        <v>1</v>
      </c>
      <c r="I234" s="4">
        <v>249.99</v>
      </c>
      <c r="J234" s="1" t="s">
        <v>20</v>
      </c>
      <c r="K234" s="1" t="s">
        <v>40</v>
      </c>
      <c r="L234" s="1" t="s">
        <v>36</v>
      </c>
      <c r="M234" s="3">
        <v>45117</v>
      </c>
      <c r="N234" s="4">
        <v>249.99</v>
      </c>
    </row>
    <row r="235" spans="1:14" ht="15.75" thickBot="1" x14ac:dyDescent="0.3">
      <c r="A235" s="1" t="s">
        <v>380</v>
      </c>
      <c r="B235" s="3">
        <v>45734</v>
      </c>
      <c r="C235" s="1" t="s">
        <v>192</v>
      </c>
      <c r="D235" s="1" t="s">
        <v>193</v>
      </c>
      <c r="E235" s="1" t="s">
        <v>31</v>
      </c>
      <c r="F235" s="1" t="s">
        <v>32</v>
      </c>
      <c r="G235" s="1" t="s">
        <v>33</v>
      </c>
      <c r="H235" s="4">
        <v>2</v>
      </c>
      <c r="I235" s="4">
        <v>59.99</v>
      </c>
      <c r="J235" s="1" t="s">
        <v>26</v>
      </c>
      <c r="K235" s="1" t="s">
        <v>50</v>
      </c>
      <c r="L235" s="1" t="s">
        <v>22</v>
      </c>
      <c r="M235" s="3">
        <v>45193</v>
      </c>
      <c r="N235" s="4">
        <v>119.98</v>
      </c>
    </row>
    <row r="236" spans="1:14" ht="15.75" thickBot="1" x14ac:dyDescent="0.3">
      <c r="A236" s="1" t="s">
        <v>381</v>
      </c>
      <c r="B236" s="3">
        <v>45737</v>
      </c>
      <c r="C236" s="1" t="s">
        <v>132</v>
      </c>
      <c r="D236" s="1" t="s">
        <v>133</v>
      </c>
      <c r="E236" s="1" t="s">
        <v>44</v>
      </c>
      <c r="F236" s="1" t="s">
        <v>45</v>
      </c>
      <c r="G236" s="1" t="s">
        <v>46</v>
      </c>
      <c r="H236" s="4">
        <v>2</v>
      </c>
      <c r="I236" s="4">
        <v>149.99</v>
      </c>
      <c r="J236" s="1" t="s">
        <v>20</v>
      </c>
      <c r="K236" s="1" t="s">
        <v>50</v>
      </c>
      <c r="L236" s="1" t="s">
        <v>27</v>
      </c>
      <c r="M236" s="3">
        <v>45233</v>
      </c>
      <c r="N236" s="4">
        <v>299.98</v>
      </c>
    </row>
    <row r="237" spans="1:14" ht="15.75" thickBot="1" x14ac:dyDescent="0.3">
      <c r="A237" s="1" t="s">
        <v>382</v>
      </c>
      <c r="B237" s="3">
        <v>45737</v>
      </c>
      <c r="C237" s="1" t="s">
        <v>150</v>
      </c>
      <c r="D237" s="1" t="s">
        <v>151</v>
      </c>
      <c r="E237" s="1" t="s">
        <v>61</v>
      </c>
      <c r="F237" s="1" t="s">
        <v>62</v>
      </c>
      <c r="G237" s="1" t="s">
        <v>19</v>
      </c>
      <c r="H237" s="4">
        <v>3</v>
      </c>
      <c r="I237" s="4">
        <v>899.99</v>
      </c>
      <c r="J237" s="1" t="s">
        <v>57</v>
      </c>
      <c r="K237" s="1" t="s">
        <v>40</v>
      </c>
      <c r="L237" s="1" t="s">
        <v>27</v>
      </c>
      <c r="M237" s="3">
        <v>44876</v>
      </c>
      <c r="N237" s="4">
        <v>2699.97</v>
      </c>
    </row>
    <row r="238" spans="1:14" ht="15.75" thickBot="1" x14ac:dyDescent="0.3">
      <c r="A238" s="1" t="s">
        <v>383</v>
      </c>
      <c r="B238" s="3">
        <v>45737</v>
      </c>
      <c r="C238" s="1" t="s">
        <v>48</v>
      </c>
      <c r="D238" s="1" t="s">
        <v>49</v>
      </c>
      <c r="E238" s="1" t="s">
        <v>61</v>
      </c>
      <c r="F238" s="1" t="s">
        <v>62</v>
      </c>
      <c r="G238" s="1" t="s">
        <v>19</v>
      </c>
      <c r="H238" s="4">
        <v>3</v>
      </c>
      <c r="I238" s="4">
        <v>899.99</v>
      </c>
      <c r="J238" s="1" t="s">
        <v>34</v>
      </c>
      <c r="K238" s="1" t="s">
        <v>40</v>
      </c>
      <c r="L238" s="1" t="s">
        <v>22</v>
      </c>
      <c r="M238" s="3">
        <v>44975</v>
      </c>
      <c r="N238" s="4">
        <v>2699.97</v>
      </c>
    </row>
    <row r="239" spans="1:14" ht="15.75" thickBot="1" x14ac:dyDescent="0.3">
      <c r="A239" s="1" t="s">
        <v>384</v>
      </c>
      <c r="B239" s="3">
        <v>45739</v>
      </c>
      <c r="C239" s="1" t="s">
        <v>15</v>
      </c>
      <c r="D239" s="1" t="s">
        <v>16</v>
      </c>
      <c r="E239" s="1" t="s">
        <v>105</v>
      </c>
      <c r="F239" s="1" t="s">
        <v>106</v>
      </c>
      <c r="G239" s="1" t="s">
        <v>46</v>
      </c>
      <c r="H239" s="4">
        <v>3</v>
      </c>
      <c r="I239" s="4">
        <v>299.99</v>
      </c>
      <c r="J239" s="1" t="s">
        <v>26</v>
      </c>
      <c r="K239" s="1" t="s">
        <v>50</v>
      </c>
      <c r="L239" s="1" t="s">
        <v>27</v>
      </c>
      <c r="M239" s="3">
        <v>45234</v>
      </c>
      <c r="N239" s="4">
        <v>899.97</v>
      </c>
    </row>
    <row r="240" spans="1:14" ht="15.75" thickBot="1" x14ac:dyDescent="0.3">
      <c r="A240" s="1" t="s">
        <v>385</v>
      </c>
      <c r="B240" s="3">
        <v>45740</v>
      </c>
      <c r="C240" s="1" t="s">
        <v>386</v>
      </c>
      <c r="D240" s="1" t="s">
        <v>387</v>
      </c>
      <c r="E240" s="1" t="s">
        <v>44</v>
      </c>
      <c r="F240" s="1" t="s">
        <v>45</v>
      </c>
      <c r="G240" s="1" t="s">
        <v>46</v>
      </c>
      <c r="H240" s="4">
        <v>4</v>
      </c>
      <c r="I240" s="4">
        <v>149.99</v>
      </c>
      <c r="J240" s="1" t="s">
        <v>34</v>
      </c>
      <c r="K240" s="1" t="s">
        <v>50</v>
      </c>
      <c r="L240" s="1" t="s">
        <v>36</v>
      </c>
      <c r="M240" s="3">
        <v>44560</v>
      </c>
      <c r="N240" s="4">
        <v>599.96</v>
      </c>
    </row>
    <row r="241" spans="1:14" ht="15.75" thickBot="1" x14ac:dyDescent="0.3">
      <c r="A241" s="1" t="s">
        <v>388</v>
      </c>
      <c r="B241" s="3">
        <v>45743</v>
      </c>
      <c r="C241" s="1" t="s">
        <v>102</v>
      </c>
      <c r="D241" s="1" t="s">
        <v>103</v>
      </c>
      <c r="E241" s="1" t="s">
        <v>114</v>
      </c>
      <c r="F241" s="1" t="s">
        <v>115</v>
      </c>
      <c r="G241" s="1" t="s">
        <v>33</v>
      </c>
      <c r="H241" s="4">
        <v>4</v>
      </c>
      <c r="I241" s="4">
        <v>79.989999999999995</v>
      </c>
      <c r="J241" s="1" t="s">
        <v>26</v>
      </c>
      <c r="K241" s="1" t="s">
        <v>21</v>
      </c>
      <c r="L241" s="1" t="s">
        <v>22</v>
      </c>
      <c r="M241" s="3">
        <v>45288</v>
      </c>
      <c r="N241" s="4">
        <v>319.95999999999998</v>
      </c>
    </row>
    <row r="242" spans="1:14" ht="15.75" thickBot="1" x14ac:dyDescent="0.3">
      <c r="A242" s="1" t="s">
        <v>389</v>
      </c>
      <c r="B242" s="3">
        <v>45745</v>
      </c>
      <c r="C242" s="1" t="s">
        <v>185</v>
      </c>
      <c r="D242" s="1" t="s">
        <v>186</v>
      </c>
      <c r="E242" s="1" t="s">
        <v>117</v>
      </c>
      <c r="F242" s="1" t="s">
        <v>118</v>
      </c>
      <c r="G242" s="1" t="s">
        <v>19</v>
      </c>
      <c r="H242" s="4">
        <v>5</v>
      </c>
      <c r="I242" s="4">
        <v>89.99</v>
      </c>
      <c r="J242" s="1" t="s">
        <v>34</v>
      </c>
      <c r="K242" s="1" t="s">
        <v>35</v>
      </c>
      <c r="L242" s="1" t="s">
        <v>22</v>
      </c>
      <c r="M242" s="3">
        <v>44704</v>
      </c>
      <c r="N242" s="4">
        <v>449.95</v>
      </c>
    </row>
    <row r="243" spans="1:14" ht="15.75" thickBot="1" x14ac:dyDescent="0.3">
      <c r="A243" s="1" t="s">
        <v>390</v>
      </c>
      <c r="B243" s="3">
        <v>45746</v>
      </c>
      <c r="C243" s="1" t="s">
        <v>93</v>
      </c>
      <c r="D243" s="1" t="s">
        <v>94</v>
      </c>
      <c r="E243" s="1" t="s">
        <v>44</v>
      </c>
      <c r="F243" s="1" t="s">
        <v>45</v>
      </c>
      <c r="G243" s="1" t="s">
        <v>46</v>
      </c>
      <c r="H243" s="4">
        <v>3</v>
      </c>
      <c r="I243" s="4">
        <v>149.99</v>
      </c>
      <c r="J243" s="1" t="s">
        <v>34</v>
      </c>
      <c r="K243" s="1" t="s">
        <v>21</v>
      </c>
      <c r="L243" s="1" t="s">
        <v>36</v>
      </c>
      <c r="M243" s="3">
        <v>45171</v>
      </c>
      <c r="N243" s="4">
        <v>449.97</v>
      </c>
    </row>
    <row r="244" spans="1:14" ht="15.75" thickBot="1" x14ac:dyDescent="0.3">
      <c r="A244" s="1" t="s">
        <v>391</v>
      </c>
      <c r="B244" s="3">
        <v>45746</v>
      </c>
      <c r="C244" s="1" t="s">
        <v>65</v>
      </c>
      <c r="D244" s="1" t="s">
        <v>66</v>
      </c>
      <c r="E244" s="1" t="s">
        <v>117</v>
      </c>
      <c r="F244" s="1" t="s">
        <v>118</v>
      </c>
      <c r="G244" s="1" t="s">
        <v>19</v>
      </c>
      <c r="H244" s="4">
        <v>2</v>
      </c>
      <c r="I244" s="4">
        <v>89.99</v>
      </c>
      <c r="J244" s="1" t="s">
        <v>57</v>
      </c>
      <c r="K244" s="1" t="s">
        <v>50</v>
      </c>
      <c r="L244" s="1" t="s">
        <v>27</v>
      </c>
      <c r="M244" s="3">
        <v>44522</v>
      </c>
      <c r="N244" s="4">
        <v>179.98</v>
      </c>
    </row>
    <row r="245" spans="1:14" ht="15.75" thickBot="1" x14ac:dyDescent="0.3">
      <c r="A245" s="1" t="s">
        <v>392</v>
      </c>
      <c r="B245" s="3">
        <v>45748</v>
      </c>
      <c r="C245" s="1" t="s">
        <v>102</v>
      </c>
      <c r="D245" s="1" t="s">
        <v>103</v>
      </c>
      <c r="E245" s="1" t="s">
        <v>80</v>
      </c>
      <c r="F245" s="1" t="s">
        <v>81</v>
      </c>
      <c r="G245" s="1" t="s">
        <v>19</v>
      </c>
      <c r="H245" s="4">
        <v>2</v>
      </c>
      <c r="I245" s="4">
        <v>699.99</v>
      </c>
      <c r="J245" s="1" t="s">
        <v>34</v>
      </c>
      <c r="K245" s="1" t="s">
        <v>40</v>
      </c>
      <c r="L245" s="1" t="s">
        <v>36</v>
      </c>
      <c r="M245" s="3">
        <v>44618</v>
      </c>
      <c r="N245" s="4">
        <v>1399.98</v>
      </c>
    </row>
    <row r="246" spans="1:14" ht="15.75" thickBot="1" x14ac:dyDescent="0.3">
      <c r="A246" s="1" t="s">
        <v>393</v>
      </c>
      <c r="B246" s="3">
        <v>45749</v>
      </c>
      <c r="C246" s="1" t="s">
        <v>123</v>
      </c>
      <c r="D246" s="1" t="s">
        <v>124</v>
      </c>
      <c r="E246" s="1" t="s">
        <v>61</v>
      </c>
      <c r="F246" s="1" t="s">
        <v>62</v>
      </c>
      <c r="G246" s="1" t="s">
        <v>19</v>
      </c>
      <c r="H246" s="4">
        <v>3</v>
      </c>
      <c r="I246" s="4">
        <v>899.99</v>
      </c>
      <c r="J246" s="1" t="s">
        <v>20</v>
      </c>
      <c r="K246" s="1" t="s">
        <v>21</v>
      </c>
      <c r="L246" s="1" t="s">
        <v>36</v>
      </c>
      <c r="M246" s="3">
        <v>44953</v>
      </c>
      <c r="N246" s="4">
        <v>2699.97</v>
      </c>
    </row>
    <row r="247" spans="1:14" ht="15.75" thickBot="1" x14ac:dyDescent="0.3">
      <c r="A247" s="1" t="s">
        <v>394</v>
      </c>
      <c r="B247" s="3">
        <v>45755</v>
      </c>
      <c r="C247" s="1" t="s">
        <v>93</v>
      </c>
      <c r="D247" s="1" t="s">
        <v>94</v>
      </c>
      <c r="E247" s="1" t="s">
        <v>114</v>
      </c>
      <c r="F247" s="1" t="s">
        <v>115</v>
      </c>
      <c r="G247" s="1" t="s">
        <v>33</v>
      </c>
      <c r="H247" s="4">
        <v>3</v>
      </c>
      <c r="I247" s="4">
        <v>79.989999999999995</v>
      </c>
      <c r="J247" s="1" t="s">
        <v>26</v>
      </c>
      <c r="K247" s="1" t="s">
        <v>40</v>
      </c>
      <c r="L247" s="1" t="s">
        <v>22</v>
      </c>
      <c r="M247" s="3">
        <v>44511</v>
      </c>
      <c r="N247" s="4">
        <v>239.97</v>
      </c>
    </row>
    <row r="248" spans="1:14" ht="15.75" thickBot="1" x14ac:dyDescent="0.3">
      <c r="A248" s="1" t="s">
        <v>395</v>
      </c>
      <c r="B248" s="3">
        <v>45756</v>
      </c>
      <c r="C248" s="1" t="s">
        <v>59</v>
      </c>
      <c r="D248" s="1" t="s">
        <v>60</v>
      </c>
      <c r="E248" s="1" t="s">
        <v>117</v>
      </c>
      <c r="F248" s="1" t="s">
        <v>118</v>
      </c>
      <c r="G248" s="1" t="s">
        <v>19</v>
      </c>
      <c r="H248" s="4">
        <v>1</v>
      </c>
      <c r="I248" s="4">
        <v>89.99</v>
      </c>
      <c r="J248" s="1" t="s">
        <v>57</v>
      </c>
      <c r="K248" s="1" t="s">
        <v>63</v>
      </c>
      <c r="L248" s="1" t="s">
        <v>22</v>
      </c>
      <c r="M248" s="3">
        <v>45346</v>
      </c>
      <c r="N248" s="4">
        <v>89.99</v>
      </c>
    </row>
    <row r="249" spans="1:14" ht="15.75" thickBot="1" x14ac:dyDescent="0.3">
      <c r="A249" s="1" t="s">
        <v>396</v>
      </c>
      <c r="B249" s="3">
        <v>45758</v>
      </c>
      <c r="C249" s="1" t="s">
        <v>293</v>
      </c>
      <c r="D249" s="1" t="s">
        <v>294</v>
      </c>
      <c r="E249" s="1" t="s">
        <v>80</v>
      </c>
      <c r="F249" s="1" t="s">
        <v>81</v>
      </c>
      <c r="G249" s="1" t="s">
        <v>19</v>
      </c>
      <c r="H249" s="4">
        <v>3</v>
      </c>
      <c r="I249" s="4">
        <v>699.99</v>
      </c>
      <c r="J249" s="1" t="s">
        <v>34</v>
      </c>
      <c r="K249" s="1" t="s">
        <v>40</v>
      </c>
      <c r="L249" s="1" t="s">
        <v>22</v>
      </c>
      <c r="M249" s="3">
        <v>44909</v>
      </c>
      <c r="N249" s="4">
        <v>2099.9699999999998</v>
      </c>
    </row>
    <row r="250" spans="1:14" ht="15.75" thickBot="1" x14ac:dyDescent="0.3">
      <c r="A250" s="1" t="s">
        <v>397</v>
      </c>
      <c r="B250" s="3">
        <v>45758</v>
      </c>
      <c r="C250" s="1" t="s">
        <v>226</v>
      </c>
      <c r="D250" s="1" t="s">
        <v>227</v>
      </c>
      <c r="E250" s="1" t="s">
        <v>117</v>
      </c>
      <c r="F250" s="1" t="s">
        <v>118</v>
      </c>
      <c r="G250" s="1" t="s">
        <v>19</v>
      </c>
      <c r="H250" s="4">
        <v>2</v>
      </c>
      <c r="I250" s="4">
        <v>89.99</v>
      </c>
      <c r="J250" s="1" t="s">
        <v>57</v>
      </c>
      <c r="K250" s="1" t="s">
        <v>63</v>
      </c>
      <c r="L250" s="1" t="s">
        <v>22</v>
      </c>
      <c r="M250" s="3">
        <v>45088</v>
      </c>
      <c r="N250" s="4">
        <v>179.98</v>
      </c>
    </row>
    <row r="251" spans="1:14" ht="15.75" thickBot="1" x14ac:dyDescent="0.3">
      <c r="A251" s="1" t="s">
        <v>398</v>
      </c>
      <c r="B251" s="3">
        <v>45758</v>
      </c>
      <c r="C251" s="1" t="s">
        <v>138</v>
      </c>
      <c r="D251" s="1" t="s">
        <v>139</v>
      </c>
      <c r="E251" s="1" t="s">
        <v>117</v>
      </c>
      <c r="F251" s="1" t="s">
        <v>118</v>
      </c>
      <c r="G251" s="1" t="s">
        <v>19</v>
      </c>
      <c r="H251" s="4">
        <v>3</v>
      </c>
      <c r="I251" s="4">
        <v>89.99</v>
      </c>
      <c r="J251" s="1" t="s">
        <v>57</v>
      </c>
      <c r="K251" s="1" t="s">
        <v>40</v>
      </c>
      <c r="L251" s="1" t="s">
        <v>27</v>
      </c>
      <c r="M251" s="3">
        <v>44878</v>
      </c>
      <c r="N251" s="4">
        <v>269.97000000000003</v>
      </c>
    </row>
  </sheetData>
  <conditionalFormatting sqref="T1:T7">
    <cfRule type="top10" dxfId="4" priority="1" rank="1"/>
    <cfRule type="top10" dxfId="3" priority="2" bottom="1" rank="1"/>
    <cfRule type="top10" dxfId="2" priority="3" rank="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FCD48-3E8D-4A1F-842E-A41D7EFC3F83}">
  <dimension ref="A1:AW251"/>
  <sheetViews>
    <sheetView topLeftCell="J1" zoomScale="115" zoomScaleNormal="115" workbookViewId="0">
      <selection activeCell="E15" sqref="A2:X251"/>
    </sheetView>
  </sheetViews>
  <sheetFormatPr defaultRowHeight="15" x14ac:dyDescent="0.25"/>
  <cols>
    <col min="1" max="1" width="16.140625" customWidth="1"/>
    <col min="2" max="2" width="11.28515625" bestFit="1" customWidth="1"/>
    <col min="3" max="3" width="10.7109375" style="14" customWidth="1"/>
    <col min="4" max="4" width="14.5703125" style="14" customWidth="1"/>
    <col min="5" max="5" width="18" customWidth="1"/>
    <col min="6" max="6" width="21.7109375" customWidth="1"/>
    <col min="7" max="7" width="19.28515625" customWidth="1"/>
    <col min="8" max="8" width="23.28515625" customWidth="1"/>
    <col min="9" max="9" width="11" customWidth="1"/>
    <col min="10" max="10" width="16.85546875" style="14" customWidth="1"/>
    <col min="11" max="11" width="12.42578125" style="18" customWidth="1"/>
    <col min="12" max="12" width="19.140625" customWidth="1"/>
    <col min="13" max="13" width="20" customWidth="1"/>
    <col min="14" max="14" width="24.42578125" customWidth="1"/>
    <col min="15" max="15" width="20.5703125" customWidth="1"/>
    <col min="16" max="16" width="17.42578125" customWidth="1"/>
    <col min="17" max="17" width="26.85546875" style="18" customWidth="1"/>
    <col min="18" max="18" width="32.7109375" customWidth="1"/>
    <col min="19" max="19" width="20.85546875" bestFit="1" customWidth="1"/>
    <col min="20" max="20" width="18.140625" bestFit="1" customWidth="1"/>
    <col min="21" max="21" width="18.85546875" style="29" bestFit="1" customWidth="1"/>
    <col min="22" max="22" width="21.140625" style="29" bestFit="1" customWidth="1"/>
    <col min="23" max="23" width="22.140625" customWidth="1"/>
    <col min="24" max="24" width="18.85546875" customWidth="1"/>
    <col min="25" max="25" width="6.140625" bestFit="1" customWidth="1"/>
    <col min="26" max="26" width="12.42578125" bestFit="1" customWidth="1"/>
    <col min="27" max="27" width="16" bestFit="1" customWidth="1"/>
    <col min="28" max="28" width="10.7109375" bestFit="1" customWidth="1"/>
    <col min="29" max="29" width="14.28515625" bestFit="1" customWidth="1"/>
    <col min="30" max="30" width="10.5703125" bestFit="1" customWidth="1"/>
    <col min="31" max="31" width="8.7109375" bestFit="1" customWidth="1"/>
    <col min="32" max="32" width="10.7109375" bestFit="1" customWidth="1"/>
    <col min="33" max="33" width="17.28515625" bestFit="1" customWidth="1"/>
    <col min="34" max="34" width="7.140625" bestFit="1" customWidth="1"/>
    <col min="35" max="35" width="18.7109375" bestFit="1" customWidth="1"/>
    <col min="36" max="36" width="15.42578125" bestFit="1" customWidth="1"/>
    <col min="37" max="37" width="14.140625" bestFit="1" customWidth="1"/>
    <col min="38" max="38" width="11.42578125" bestFit="1" customWidth="1"/>
    <col min="39" max="39" width="18.5703125" bestFit="1" customWidth="1"/>
    <col min="40" max="40" width="15.85546875" bestFit="1" customWidth="1"/>
    <col min="41" max="41" width="16.5703125" bestFit="1" customWidth="1"/>
    <col min="42" max="42" width="18.85546875" bestFit="1" customWidth="1"/>
  </cols>
  <sheetData>
    <row r="1" spans="1:49" ht="15.75" thickBot="1" x14ac:dyDescent="0.3">
      <c r="A1" s="6" t="s">
        <v>0</v>
      </c>
      <c r="B1" s="7" t="s">
        <v>1</v>
      </c>
      <c r="C1" s="11" t="s">
        <v>478</v>
      </c>
      <c r="D1" s="11" t="s">
        <v>479</v>
      </c>
      <c r="E1" s="7" t="s">
        <v>411</v>
      </c>
      <c r="F1" s="7" t="s">
        <v>2</v>
      </c>
      <c r="G1" s="7" t="s">
        <v>3</v>
      </c>
      <c r="H1" s="7" t="s">
        <v>409</v>
      </c>
      <c r="I1" s="7" t="s">
        <v>4</v>
      </c>
      <c r="J1" s="7" t="s">
        <v>5</v>
      </c>
      <c r="K1" s="7" t="s">
        <v>6</v>
      </c>
      <c r="L1" s="11" t="s">
        <v>7</v>
      </c>
      <c r="M1" s="15" t="s">
        <v>8</v>
      </c>
      <c r="N1" s="7" t="s">
        <v>9</v>
      </c>
      <c r="O1" s="7" t="s">
        <v>10</v>
      </c>
      <c r="P1" s="7" t="s">
        <v>410</v>
      </c>
      <c r="Q1" s="7" t="s">
        <v>11</v>
      </c>
      <c r="R1" s="7" t="s">
        <v>12</v>
      </c>
      <c r="S1" s="19" t="s">
        <v>13</v>
      </c>
      <c r="T1" s="7" t="s">
        <v>399</v>
      </c>
      <c r="U1" s="7" t="s">
        <v>400</v>
      </c>
      <c r="V1" s="7" t="s">
        <v>401</v>
      </c>
      <c r="W1" s="27" t="s">
        <v>402</v>
      </c>
      <c r="X1" s="27" t="s">
        <v>403</v>
      </c>
      <c r="Z1" t="s">
        <v>404</v>
      </c>
    </row>
    <row r="2" spans="1:49" ht="45.75" thickBot="1" x14ac:dyDescent="0.3">
      <c r="A2" s="5" t="s">
        <v>14</v>
      </c>
      <c r="B2" s="3">
        <v>45393</v>
      </c>
      <c r="C2" s="12" t="str">
        <f>TEXT(Table1[[#This Row],[Date]],"mmm")</f>
        <v>Apr</v>
      </c>
      <c r="D2" s="12">
        <f>YEAR(Table1[[#This Row],[Date]])</f>
        <v>2024</v>
      </c>
      <c r="E2" s="3" t="str">
        <f>TEXT(Table1[[#This Row],[Date]],"mmm-yyyy")</f>
        <v>Apr-2024</v>
      </c>
      <c r="F2" s="1" t="s">
        <v>15</v>
      </c>
      <c r="G2" s="1" t="s">
        <v>16</v>
      </c>
      <c r="H2" s="1" t="str">
        <f>LEFT(Table1[[#This Row],[Customer_Name]],1)&amp;LEFT(MID(Table1[[#This Row],[Customer_Name]],FIND(" ",Table1[[#This Row],[Customer_Name]])+1,50),1)</f>
        <v>PB</v>
      </c>
      <c r="I2" s="1" t="s">
        <v>17</v>
      </c>
      <c r="J2" s="1" t="s">
        <v>18</v>
      </c>
      <c r="K2" s="1" t="s">
        <v>19</v>
      </c>
      <c r="L2" s="12">
        <v>3</v>
      </c>
      <c r="M2" s="16">
        <v>249.99</v>
      </c>
      <c r="N2" s="1" t="s">
        <v>20</v>
      </c>
      <c r="O2" s="1" t="s">
        <v>21</v>
      </c>
      <c r="P2" s="1" t="str">
        <f>UPPER(LEFT(Table1[[#This Row],[Region]],2))</f>
        <v>CE</v>
      </c>
      <c r="Q2" s="1" t="s">
        <v>22</v>
      </c>
      <c r="R2" s="3">
        <v>44425</v>
      </c>
      <c r="S2" s="20">
        <v>749.97</v>
      </c>
      <c r="T2" s="22">
        <f t="shared" ref="T2:T65" ca="1" si="0">TODAY()</f>
        <v>46057</v>
      </c>
      <c r="U2" s="26">
        <f t="shared" ref="U2:U65" ca="1" si="1">NOW()</f>
        <v>46057.595634259262</v>
      </c>
      <c r="V2" s="25">
        <f ca="1">DATEDIF(Table1[[#This Row],[Date]],TODAY(),"d")</f>
        <v>664</v>
      </c>
      <c r="W2" s="28">
        <f>EOMONTH(Table1[[#This Row],[Date]],0)</f>
        <v>45412</v>
      </c>
      <c r="X2" s="26">
        <f t="shared" ref="X2:X65" ca="1" si="2">IF($A2="", "", IF(X2=0, NOW(), X2))</f>
        <v>46040.622929282406</v>
      </c>
      <c r="Z2" s="30" t="s">
        <v>0</v>
      </c>
      <c r="AA2" s="30" t="s">
        <v>1</v>
      </c>
      <c r="AB2" s="30" t="s">
        <v>2</v>
      </c>
      <c r="AC2" s="30" t="s">
        <v>3</v>
      </c>
      <c r="AD2" s="30" t="s">
        <v>4</v>
      </c>
      <c r="AE2" s="30" t="s">
        <v>5</v>
      </c>
      <c r="AF2" s="30" t="s">
        <v>6</v>
      </c>
      <c r="AG2" s="31" t="s">
        <v>7</v>
      </c>
      <c r="AH2" s="32" t="s">
        <v>8</v>
      </c>
      <c r="AI2" s="30" t="s">
        <v>9</v>
      </c>
      <c r="AJ2" s="30" t="s">
        <v>10</v>
      </c>
      <c r="AK2" s="30" t="s">
        <v>11</v>
      </c>
      <c r="AL2" s="30" t="s">
        <v>12</v>
      </c>
      <c r="AM2" s="33" t="s">
        <v>13</v>
      </c>
      <c r="AN2" s="30" t="s">
        <v>399</v>
      </c>
      <c r="AO2" s="30" t="s">
        <v>400</v>
      </c>
      <c r="AP2" s="30" t="s">
        <v>401</v>
      </c>
      <c r="AQ2" s="34" t="s">
        <v>402</v>
      </c>
      <c r="AR2" s="34" t="s">
        <v>403</v>
      </c>
    </row>
    <row r="3" spans="1:49" ht="15.75" thickBot="1" x14ac:dyDescent="0.3">
      <c r="A3" s="5" t="s">
        <v>23</v>
      </c>
      <c r="B3" s="3">
        <v>45396</v>
      </c>
      <c r="C3" s="12" t="str">
        <f>TEXT(Table1[[#This Row],[Date]],"mmm")</f>
        <v>Apr</v>
      </c>
      <c r="D3" s="12">
        <f>YEAR(Table1[[#This Row],[Date]])</f>
        <v>2024</v>
      </c>
      <c r="E3" s="3" t="str">
        <f>TEXT(Table1[[#This Row],[Date]],"mmm-yyyy")</f>
        <v>Apr-2024</v>
      </c>
      <c r="F3" s="1" t="s">
        <v>24</v>
      </c>
      <c r="G3" s="1" t="s">
        <v>25</v>
      </c>
      <c r="H3" s="1" t="str">
        <f>LEFT(Table1[[#This Row],[Customer_Name]],1)&amp;LEFT(MID(Table1[[#This Row],[Customer_Name]],FIND(" ",Table1[[#This Row],[Customer_Name]])+1,50),1)</f>
        <v>JJ</v>
      </c>
      <c r="I3" s="1" t="s">
        <v>17</v>
      </c>
      <c r="J3" s="1" t="s">
        <v>18</v>
      </c>
      <c r="K3" s="1" t="s">
        <v>19</v>
      </c>
      <c r="L3" s="12">
        <v>3</v>
      </c>
      <c r="M3" s="16">
        <v>249.99</v>
      </c>
      <c r="N3" s="1" t="s">
        <v>26</v>
      </c>
      <c r="O3" s="1" t="s">
        <v>21</v>
      </c>
      <c r="P3" s="1" t="str">
        <f>UPPER(LEFT(Table1[[#This Row],[Region]],2))</f>
        <v>CE</v>
      </c>
      <c r="Q3" s="1" t="s">
        <v>27</v>
      </c>
      <c r="R3" s="3">
        <v>44575</v>
      </c>
      <c r="S3" s="20">
        <v>749.97</v>
      </c>
      <c r="T3" s="23">
        <f t="shared" ca="1" si="0"/>
        <v>46057</v>
      </c>
      <c r="U3" s="26">
        <f t="shared" ca="1" si="1"/>
        <v>46057.595634259262</v>
      </c>
      <c r="V3" s="25">
        <f ca="1">DATEDIF(Table1[[#This Row],[Date]],TODAY(),"d")</f>
        <v>661</v>
      </c>
      <c r="W3" s="28">
        <f>EOMONTH(Table1[[#This Row],[Date]],0)</f>
        <v>45412</v>
      </c>
      <c r="X3" s="26">
        <f t="shared" ca="1" si="2"/>
        <v>46040.622929282406</v>
      </c>
      <c r="Z3" t="str" cm="1">
        <f t="array" aca="1" ref="Z3:AW15" ca="1">_xlfn._xlws.FILTER(Table1[],(Table1[Region]="West")*(Table1[Total_Amount]&gt;AVERAGE(Table1[Total_Amount])))</f>
        <v>TRX0191</v>
      </c>
      <c r="AA3">
        <f ca="1"/>
        <v>45409</v>
      </c>
      <c r="AB3" t="str">
        <f ca="1"/>
        <v>Apr</v>
      </c>
      <c r="AC3">
        <f ca="1"/>
        <v>2024</v>
      </c>
      <c r="AD3" t="str">
        <f ca="1"/>
        <v>Apr-2024</v>
      </c>
      <c r="AE3" t="str">
        <f ca="1"/>
        <v>CUST038</v>
      </c>
      <c r="AF3" t="str">
        <f ca="1"/>
        <v>Michelle Rogers</v>
      </c>
      <c r="AG3" t="str">
        <f ca="1"/>
        <v>MR</v>
      </c>
      <c r="AH3" t="str">
        <f ca="1"/>
        <v>P002</v>
      </c>
      <c r="AI3" t="str">
        <f ca="1"/>
        <v>Smartphone</v>
      </c>
      <c r="AJ3" t="str">
        <f ca="1"/>
        <v>Electronics</v>
      </c>
      <c r="AK3">
        <f ca="1"/>
        <v>3</v>
      </c>
      <c r="AL3">
        <f ca="1"/>
        <v>699.99</v>
      </c>
      <c r="AM3" t="str">
        <f ca="1"/>
        <v>Credit Card</v>
      </c>
      <c r="AN3" t="str">
        <f ca="1"/>
        <v>West</v>
      </c>
      <c r="AO3" t="str">
        <f ca="1"/>
        <v>WE</v>
      </c>
      <c r="AP3" t="str">
        <f ca="1"/>
        <v>Basic</v>
      </c>
      <c r="AQ3">
        <f ca="1"/>
        <v>44577</v>
      </c>
      <c r="AR3">
        <f ca="1"/>
        <v>2099.9699999999998</v>
      </c>
      <c r="AS3">
        <f ca="1"/>
        <v>46057</v>
      </c>
      <c r="AT3">
        <f ca="1"/>
        <v>46057.595634259262</v>
      </c>
      <c r="AU3">
        <f ca="1"/>
        <v>648</v>
      </c>
      <c r="AV3">
        <f ca="1"/>
        <v>45412</v>
      </c>
      <c r="AW3">
        <f ca="1"/>
        <v>46040.622929282406</v>
      </c>
    </row>
    <row r="4" spans="1:49" ht="15.75" thickBot="1" x14ac:dyDescent="0.3">
      <c r="A4" s="5" t="s">
        <v>28</v>
      </c>
      <c r="B4" s="3">
        <v>45399</v>
      </c>
      <c r="C4" s="12" t="str">
        <f>TEXT(Table1[[#This Row],[Date]],"mmm")</f>
        <v>Apr</v>
      </c>
      <c r="D4" s="12">
        <f>YEAR(Table1[[#This Row],[Date]])</f>
        <v>2024</v>
      </c>
      <c r="E4" s="3" t="str">
        <f>TEXT(Table1[[#This Row],[Date]],"mmm-yyyy")</f>
        <v>Apr-2024</v>
      </c>
      <c r="F4" s="1" t="s">
        <v>29</v>
      </c>
      <c r="G4" s="1" t="s">
        <v>30</v>
      </c>
      <c r="H4" s="1" t="str">
        <f>LEFT(Table1[[#This Row],[Customer_Name]],1)&amp;LEFT(MID(Table1[[#This Row],[Customer_Name]],FIND(" ",Table1[[#This Row],[Customer_Name]])+1,50),1)</f>
        <v>KS</v>
      </c>
      <c r="I4" s="1" t="s">
        <v>31</v>
      </c>
      <c r="J4" s="1" t="s">
        <v>32</v>
      </c>
      <c r="K4" s="1" t="s">
        <v>33</v>
      </c>
      <c r="L4" s="12">
        <v>3</v>
      </c>
      <c r="M4" s="16">
        <v>59.99</v>
      </c>
      <c r="N4" s="1" t="s">
        <v>34</v>
      </c>
      <c r="O4" s="1" t="s">
        <v>35</v>
      </c>
      <c r="P4" s="1" t="str">
        <f>UPPER(LEFT(Table1[[#This Row],[Region]],2))</f>
        <v>SO</v>
      </c>
      <c r="Q4" s="1" t="s">
        <v>36</v>
      </c>
      <c r="R4" s="3">
        <v>45262</v>
      </c>
      <c r="S4" s="20">
        <v>179.97</v>
      </c>
      <c r="T4" s="23">
        <f t="shared" ca="1" si="0"/>
        <v>46057</v>
      </c>
      <c r="U4" s="26">
        <f t="shared" ca="1" si="1"/>
        <v>46057.595634259262</v>
      </c>
      <c r="V4" s="25">
        <f ca="1">DATEDIF(Table1[[#This Row],[Date]],TODAY(),"d")</f>
        <v>658</v>
      </c>
      <c r="W4" s="28">
        <f>EOMONTH(Table1[[#This Row],[Date]],0)</f>
        <v>45412</v>
      </c>
      <c r="X4" s="26">
        <f t="shared" ca="1" si="2"/>
        <v>46040.622929282406</v>
      </c>
      <c r="Z4" t="str">
        <f ca="1"/>
        <v>TRX0122</v>
      </c>
      <c r="AA4">
        <f ca="1"/>
        <v>45410</v>
      </c>
      <c r="AB4" t="str">
        <f ca="1"/>
        <v>Apr</v>
      </c>
      <c r="AC4">
        <f ca="1"/>
        <v>2024</v>
      </c>
      <c r="AD4" t="str">
        <f ca="1"/>
        <v>Apr-2024</v>
      </c>
      <c r="AE4" t="str">
        <f ca="1"/>
        <v>CUST025</v>
      </c>
      <c r="AF4" t="str">
        <f ca="1"/>
        <v>Mark Carter</v>
      </c>
      <c r="AG4" t="str">
        <f ca="1"/>
        <v>MC</v>
      </c>
      <c r="AH4" t="str">
        <f ca="1"/>
        <v>P001</v>
      </c>
      <c r="AI4" t="str">
        <f ca="1"/>
        <v>Laptop</v>
      </c>
      <c r="AJ4" t="str">
        <f ca="1"/>
        <v>Electronics</v>
      </c>
      <c r="AK4">
        <f ca="1"/>
        <v>4</v>
      </c>
      <c r="AL4">
        <f ca="1"/>
        <v>899.99</v>
      </c>
      <c r="AM4" t="str">
        <f ca="1"/>
        <v>Credit Card</v>
      </c>
      <c r="AN4" t="str">
        <f ca="1"/>
        <v>West</v>
      </c>
      <c r="AO4" t="str">
        <f ca="1"/>
        <v>WE</v>
      </c>
      <c r="AP4" t="str">
        <f ca="1"/>
        <v>Standard</v>
      </c>
      <c r="AQ4">
        <f ca="1"/>
        <v>45327</v>
      </c>
      <c r="AR4">
        <f ca="1"/>
        <v>3599.96</v>
      </c>
      <c r="AS4">
        <f ca="1"/>
        <v>46057</v>
      </c>
      <c r="AT4">
        <f ca="1"/>
        <v>46057.595634259262</v>
      </c>
      <c r="AU4">
        <f ca="1"/>
        <v>647</v>
      </c>
      <c r="AV4">
        <f ca="1"/>
        <v>45412</v>
      </c>
      <c r="AW4">
        <f ca="1"/>
        <v>46040.622929282406</v>
      </c>
    </row>
    <row r="5" spans="1:49" ht="15.75" thickBot="1" x14ac:dyDescent="0.3">
      <c r="A5" s="5" t="s">
        <v>37</v>
      </c>
      <c r="B5" s="3">
        <v>45400</v>
      </c>
      <c r="C5" s="12" t="str">
        <f>TEXT(Table1[[#This Row],[Date]],"mmm")</f>
        <v>Apr</v>
      </c>
      <c r="D5" s="12">
        <f>YEAR(Table1[[#This Row],[Date]])</f>
        <v>2024</v>
      </c>
      <c r="E5" s="3" t="str">
        <f>TEXT(Table1[[#This Row],[Date]],"mmm-yyyy")</f>
        <v>Apr-2024</v>
      </c>
      <c r="F5" s="1" t="s">
        <v>38</v>
      </c>
      <c r="G5" s="1" t="s">
        <v>39</v>
      </c>
      <c r="H5" s="1" t="str">
        <f>LEFT(Table1[[#This Row],[Customer_Name]],1)&amp;LEFT(MID(Table1[[#This Row],[Customer_Name]],FIND(" ",Table1[[#This Row],[Customer_Name]])+1,50),1)</f>
        <v>KB</v>
      </c>
      <c r="I5" s="1" t="s">
        <v>31</v>
      </c>
      <c r="J5" s="1" t="s">
        <v>32</v>
      </c>
      <c r="K5" s="1" t="s">
        <v>33</v>
      </c>
      <c r="L5" s="12">
        <v>3</v>
      </c>
      <c r="M5" s="16">
        <v>59.99</v>
      </c>
      <c r="N5" s="1" t="s">
        <v>20</v>
      </c>
      <c r="O5" s="1" t="s">
        <v>40</v>
      </c>
      <c r="P5" s="1" t="str">
        <f>UPPER(LEFT(Table1[[#This Row],[Region]],2))</f>
        <v>NO</v>
      </c>
      <c r="Q5" s="1" t="s">
        <v>27</v>
      </c>
      <c r="R5" s="3">
        <v>45114</v>
      </c>
      <c r="S5" s="20">
        <v>179.97</v>
      </c>
      <c r="T5" s="23">
        <f t="shared" ca="1" si="0"/>
        <v>46057</v>
      </c>
      <c r="U5" s="26">
        <f t="shared" ca="1" si="1"/>
        <v>46057.595634259262</v>
      </c>
      <c r="V5" s="25">
        <f ca="1">DATEDIF(Table1[[#This Row],[Date]],TODAY(),"d")</f>
        <v>657</v>
      </c>
      <c r="W5" s="28">
        <f>EOMONTH(Table1[[#This Row],[Date]],0)</f>
        <v>45412</v>
      </c>
      <c r="X5" s="26">
        <f t="shared" ca="1" si="2"/>
        <v>46040.622929282406</v>
      </c>
      <c r="Z5" t="str">
        <f ca="1"/>
        <v>TRX0231</v>
      </c>
      <c r="AA5">
        <f ca="1"/>
        <v>45412</v>
      </c>
      <c r="AB5" t="str">
        <f ca="1"/>
        <v>Apr</v>
      </c>
      <c r="AC5">
        <f ca="1"/>
        <v>2024</v>
      </c>
      <c r="AD5" t="str">
        <f ca="1"/>
        <v>Apr-2024</v>
      </c>
      <c r="AE5" t="str">
        <f ca="1"/>
        <v>CUST018</v>
      </c>
      <c r="AF5" t="str">
        <f ca="1"/>
        <v>Barbara Young</v>
      </c>
      <c r="AG5" t="str">
        <f ca="1"/>
        <v>BY</v>
      </c>
      <c r="AH5" t="str">
        <f ca="1"/>
        <v>P002</v>
      </c>
      <c r="AI5" t="str">
        <f ca="1"/>
        <v>Smartphone</v>
      </c>
      <c r="AJ5" t="str">
        <f ca="1"/>
        <v>Electronics</v>
      </c>
      <c r="AK5">
        <f ca="1"/>
        <v>5</v>
      </c>
      <c r="AL5">
        <f ca="1"/>
        <v>699.99</v>
      </c>
      <c r="AM5" t="str">
        <f ca="1"/>
        <v>Cash</v>
      </c>
      <c r="AN5" t="str">
        <f ca="1"/>
        <v>West</v>
      </c>
      <c r="AO5" t="str">
        <f ca="1"/>
        <v>WE</v>
      </c>
      <c r="AP5" t="str">
        <f ca="1"/>
        <v>Basic</v>
      </c>
      <c r="AQ5">
        <f ca="1"/>
        <v>45167</v>
      </c>
      <c r="AR5">
        <f ca="1"/>
        <v>3499.95</v>
      </c>
      <c r="AS5">
        <f ca="1"/>
        <v>46057</v>
      </c>
      <c r="AT5">
        <f ca="1"/>
        <v>46057.595634259262</v>
      </c>
      <c r="AU5">
        <f ca="1"/>
        <v>645</v>
      </c>
      <c r="AV5">
        <f ca="1"/>
        <v>45412</v>
      </c>
      <c r="AW5">
        <f ca="1"/>
        <v>46040.622929282406</v>
      </c>
    </row>
    <row r="6" spans="1:49" ht="15.75" thickBot="1" x14ac:dyDescent="0.3">
      <c r="A6" s="5" t="s">
        <v>41</v>
      </c>
      <c r="B6" s="3">
        <v>45400</v>
      </c>
      <c r="C6" s="12" t="str">
        <f>TEXT(Table1[[#This Row],[Date]],"mmm")</f>
        <v>Apr</v>
      </c>
      <c r="D6" s="12">
        <f>YEAR(Table1[[#This Row],[Date]])</f>
        <v>2024</v>
      </c>
      <c r="E6" s="3" t="str">
        <f>TEXT(Table1[[#This Row],[Date]],"mmm-yyyy")</f>
        <v>Apr-2024</v>
      </c>
      <c r="F6" s="1" t="s">
        <v>42</v>
      </c>
      <c r="G6" s="1" t="s">
        <v>43</v>
      </c>
      <c r="H6" s="1" t="str">
        <f>LEFT(Table1[[#This Row],[Customer_Name]],1)&amp;LEFT(MID(Table1[[#This Row],[Customer_Name]],FIND(" ",Table1[[#This Row],[Customer_Name]])+1,50),1)</f>
        <v>MB</v>
      </c>
      <c r="I6" s="1" t="s">
        <v>44</v>
      </c>
      <c r="J6" s="1" t="s">
        <v>45</v>
      </c>
      <c r="K6" s="1" t="s">
        <v>46</v>
      </c>
      <c r="L6" s="12">
        <v>5</v>
      </c>
      <c r="M6" s="16">
        <v>149.99</v>
      </c>
      <c r="N6" s="1" t="s">
        <v>26</v>
      </c>
      <c r="O6" s="1" t="s">
        <v>40</v>
      </c>
      <c r="P6" s="1" t="str">
        <f>UPPER(LEFT(Table1[[#This Row],[Region]],2))</f>
        <v>NO</v>
      </c>
      <c r="Q6" s="1" t="s">
        <v>27</v>
      </c>
      <c r="R6" s="3">
        <v>45295</v>
      </c>
      <c r="S6" s="20">
        <v>749.95</v>
      </c>
      <c r="T6" s="23">
        <f t="shared" ca="1" si="0"/>
        <v>46057</v>
      </c>
      <c r="U6" s="26">
        <f t="shared" ca="1" si="1"/>
        <v>46057.595634259262</v>
      </c>
      <c r="V6" s="25">
        <f ca="1">DATEDIF(Table1[[#This Row],[Date]],TODAY(),"d")</f>
        <v>657</v>
      </c>
      <c r="W6" s="28">
        <f>EOMONTH(Table1[[#This Row],[Date]],0)</f>
        <v>45412</v>
      </c>
      <c r="X6" s="26">
        <f t="shared" ca="1" si="2"/>
        <v>46040.622929282406</v>
      </c>
      <c r="Z6" t="str">
        <f ca="1"/>
        <v>TRX0242</v>
      </c>
      <c r="AA6">
        <f ca="1"/>
        <v>45416</v>
      </c>
      <c r="AB6" t="str">
        <f ca="1"/>
        <v>May</v>
      </c>
      <c r="AC6">
        <f ca="1"/>
        <v>2024</v>
      </c>
      <c r="AD6" t="str">
        <f ca="1"/>
        <v>May-2024</v>
      </c>
      <c r="AE6" t="str">
        <f ca="1"/>
        <v>CUST025</v>
      </c>
      <c r="AF6" t="str">
        <f ca="1"/>
        <v>Mark Carter</v>
      </c>
      <c r="AG6" t="str">
        <f ca="1"/>
        <v>MC</v>
      </c>
      <c r="AH6" t="str">
        <f ca="1"/>
        <v>P007</v>
      </c>
      <c r="AI6" t="str">
        <f ca="1"/>
        <v>Desk</v>
      </c>
      <c r="AJ6" t="str">
        <f ca="1"/>
        <v>Furniture</v>
      </c>
      <c r="AK6">
        <f ca="1"/>
        <v>4</v>
      </c>
      <c r="AL6">
        <f ca="1"/>
        <v>299.99</v>
      </c>
      <c r="AM6" t="str">
        <f ca="1"/>
        <v>Cash</v>
      </c>
      <c r="AN6" t="str">
        <f ca="1"/>
        <v>West</v>
      </c>
      <c r="AO6" t="str">
        <f ca="1"/>
        <v>WE</v>
      </c>
      <c r="AP6" t="str">
        <f ca="1"/>
        <v>Premium</v>
      </c>
      <c r="AQ6">
        <f ca="1"/>
        <v>44716</v>
      </c>
      <c r="AR6">
        <f ca="1"/>
        <v>1199.96</v>
      </c>
      <c r="AS6">
        <f ca="1"/>
        <v>46057</v>
      </c>
      <c r="AT6">
        <f ca="1"/>
        <v>46057.595634259262</v>
      </c>
      <c r="AU6">
        <f ca="1"/>
        <v>641</v>
      </c>
      <c r="AV6">
        <f ca="1"/>
        <v>45443</v>
      </c>
      <c r="AW6">
        <f ca="1"/>
        <v>46040.622929282406</v>
      </c>
    </row>
    <row r="7" spans="1:49" ht="15.75" thickBot="1" x14ac:dyDescent="0.3">
      <c r="A7" s="5" t="s">
        <v>47</v>
      </c>
      <c r="B7" s="3">
        <v>45403</v>
      </c>
      <c r="C7" s="12" t="str">
        <f>TEXT(Table1[[#This Row],[Date]],"mmm")</f>
        <v>Apr</v>
      </c>
      <c r="D7" s="12">
        <f>YEAR(Table1[[#This Row],[Date]])</f>
        <v>2024</v>
      </c>
      <c r="E7" s="3" t="str">
        <f>TEXT(Table1[[#This Row],[Date]],"mmm-yyyy")</f>
        <v>Apr-2024</v>
      </c>
      <c r="F7" s="1" t="s">
        <v>48</v>
      </c>
      <c r="G7" s="1" t="s">
        <v>49</v>
      </c>
      <c r="H7" s="1" t="str">
        <f>LEFT(Table1[[#This Row],[Customer_Name]],1)&amp;LEFT(MID(Table1[[#This Row],[Customer_Name]],FIND(" ",Table1[[#This Row],[Customer_Name]])+1,50),1)</f>
        <v>DN</v>
      </c>
      <c r="I7" s="1" t="s">
        <v>31</v>
      </c>
      <c r="J7" s="1" t="s">
        <v>32</v>
      </c>
      <c r="K7" s="1" t="s">
        <v>33</v>
      </c>
      <c r="L7" s="12">
        <v>2</v>
      </c>
      <c r="M7" s="16">
        <v>59.99</v>
      </c>
      <c r="N7" s="1" t="s">
        <v>20</v>
      </c>
      <c r="O7" s="1" t="s">
        <v>50</v>
      </c>
      <c r="P7" s="1" t="str">
        <f>UPPER(LEFT(Table1[[#This Row],[Region]],2))</f>
        <v>WE</v>
      </c>
      <c r="Q7" s="1" t="s">
        <v>36</v>
      </c>
      <c r="R7" s="3">
        <v>44746</v>
      </c>
      <c r="S7" s="20">
        <v>119.98</v>
      </c>
      <c r="T7" s="23">
        <f t="shared" ca="1" si="0"/>
        <v>46057</v>
      </c>
      <c r="U7" s="26">
        <f t="shared" ca="1" si="1"/>
        <v>46057.595634259262</v>
      </c>
      <c r="V7" s="25">
        <f ca="1">DATEDIF(Table1[[#This Row],[Date]],TODAY(),"d")</f>
        <v>654</v>
      </c>
      <c r="W7" s="28">
        <f>EOMONTH(Table1[[#This Row],[Date]],0)</f>
        <v>45412</v>
      </c>
      <c r="X7" s="26">
        <f t="shared" ca="1" si="2"/>
        <v>46040.622929282406</v>
      </c>
      <c r="Z7" t="str">
        <f ca="1"/>
        <v>TRX0071</v>
      </c>
      <c r="AA7">
        <f ca="1"/>
        <v>45422</v>
      </c>
      <c r="AB7" t="str">
        <f ca="1"/>
        <v>May</v>
      </c>
      <c r="AC7">
        <f ca="1"/>
        <v>2024</v>
      </c>
      <c r="AD7" t="str">
        <f ca="1"/>
        <v>May-2024</v>
      </c>
      <c r="AE7" t="str">
        <f ca="1"/>
        <v>CUST036</v>
      </c>
      <c r="AF7" t="str">
        <f ca="1"/>
        <v>Nancy Collins</v>
      </c>
      <c r="AG7" t="str">
        <f ca="1"/>
        <v>NC</v>
      </c>
      <c r="AH7" t="str">
        <f ca="1"/>
        <v>P009</v>
      </c>
      <c r="AI7" t="str">
        <f ca="1"/>
        <v>Monitor</v>
      </c>
      <c r="AJ7" t="str">
        <f ca="1"/>
        <v>Electronics</v>
      </c>
      <c r="AK7">
        <f ca="1"/>
        <v>5</v>
      </c>
      <c r="AL7">
        <f ca="1"/>
        <v>249.99</v>
      </c>
      <c r="AM7" t="str">
        <f ca="1"/>
        <v>Credit Card</v>
      </c>
      <c r="AN7" t="str">
        <f ca="1"/>
        <v>West</v>
      </c>
      <c r="AO7" t="str">
        <f ca="1"/>
        <v>WE</v>
      </c>
      <c r="AP7" t="str">
        <f ca="1"/>
        <v>Standard</v>
      </c>
      <c r="AQ7">
        <f ca="1"/>
        <v>44525</v>
      </c>
      <c r="AR7">
        <f ca="1"/>
        <v>1249.95</v>
      </c>
      <c r="AS7">
        <f ca="1"/>
        <v>46057</v>
      </c>
      <c r="AT7">
        <f ca="1"/>
        <v>46057.595634259262</v>
      </c>
      <c r="AU7">
        <f ca="1"/>
        <v>635</v>
      </c>
      <c r="AV7">
        <f ca="1"/>
        <v>45443</v>
      </c>
      <c r="AW7">
        <f ca="1"/>
        <v>46040.622929282406</v>
      </c>
    </row>
    <row r="8" spans="1:49" ht="15.75" thickBot="1" x14ac:dyDescent="0.3">
      <c r="A8" s="5" t="s">
        <v>51</v>
      </c>
      <c r="B8" s="3">
        <v>45403</v>
      </c>
      <c r="C8" s="12" t="str">
        <f>TEXT(Table1[[#This Row],[Date]],"mmm")</f>
        <v>Apr</v>
      </c>
      <c r="D8" s="12">
        <f>YEAR(Table1[[#This Row],[Date]])</f>
        <v>2024</v>
      </c>
      <c r="E8" s="3" t="str">
        <f>TEXT(Table1[[#This Row],[Date]],"mmm-yyyy")</f>
        <v>Apr-2024</v>
      </c>
      <c r="F8" s="1" t="s">
        <v>48</v>
      </c>
      <c r="G8" s="1" t="s">
        <v>49</v>
      </c>
      <c r="H8" s="1" t="str">
        <f>LEFT(Table1[[#This Row],[Customer_Name]],1)&amp;LEFT(MID(Table1[[#This Row],[Customer_Name]],FIND(" ",Table1[[#This Row],[Customer_Name]])+1,50),1)</f>
        <v>DN</v>
      </c>
      <c r="I8" s="1" t="s">
        <v>52</v>
      </c>
      <c r="J8" s="1" t="s">
        <v>53</v>
      </c>
      <c r="K8" s="1" t="s">
        <v>19</v>
      </c>
      <c r="L8" s="12">
        <v>5</v>
      </c>
      <c r="M8" s="16">
        <v>149.99</v>
      </c>
      <c r="N8" s="1" t="s">
        <v>26</v>
      </c>
      <c r="O8" s="1" t="s">
        <v>21</v>
      </c>
      <c r="P8" s="1" t="str">
        <f>UPPER(LEFT(Table1[[#This Row],[Region]],2))</f>
        <v>CE</v>
      </c>
      <c r="Q8" s="1" t="s">
        <v>36</v>
      </c>
      <c r="R8" s="3">
        <v>44418</v>
      </c>
      <c r="S8" s="20">
        <v>749.95</v>
      </c>
      <c r="T8" s="23">
        <f t="shared" ca="1" si="0"/>
        <v>46057</v>
      </c>
      <c r="U8" s="26">
        <f t="shared" ca="1" si="1"/>
        <v>46057.595634259262</v>
      </c>
      <c r="V8" s="25">
        <f ca="1">DATEDIF(Table1[[#This Row],[Date]],TODAY(),"d")</f>
        <v>654</v>
      </c>
      <c r="W8" s="28">
        <f>EOMONTH(Table1[[#This Row],[Date]],0)</f>
        <v>45412</v>
      </c>
      <c r="X8" s="26">
        <f t="shared" ca="1" si="2"/>
        <v>46040.622929282406</v>
      </c>
      <c r="Z8" t="str">
        <f ca="1"/>
        <v>TRX0015</v>
      </c>
      <c r="AA8">
        <f ca="1"/>
        <v>45440</v>
      </c>
      <c r="AB8" t="str">
        <f ca="1"/>
        <v>May</v>
      </c>
      <c r="AC8">
        <f ca="1"/>
        <v>2024</v>
      </c>
      <c r="AD8" t="str">
        <f ca="1"/>
        <v>May-2024</v>
      </c>
      <c r="AE8" t="str">
        <f ca="1"/>
        <v>CUST008</v>
      </c>
      <c r="AF8" t="str">
        <f ca="1"/>
        <v>Jennifer Taylor</v>
      </c>
      <c r="AG8" t="str">
        <f ca="1"/>
        <v>JT</v>
      </c>
      <c r="AH8" t="str">
        <f ca="1"/>
        <v>P002</v>
      </c>
      <c r="AI8" t="str">
        <f ca="1"/>
        <v>Smartphone</v>
      </c>
      <c r="AJ8" t="str">
        <f ca="1"/>
        <v>Electronics</v>
      </c>
      <c r="AK8">
        <f ca="1"/>
        <v>5</v>
      </c>
      <c r="AL8">
        <f ca="1"/>
        <v>699.99</v>
      </c>
      <c r="AM8" t="str">
        <f ca="1"/>
        <v>PayPal</v>
      </c>
      <c r="AN8" t="str">
        <f ca="1"/>
        <v>West</v>
      </c>
      <c r="AO8" t="str">
        <f ca="1"/>
        <v>WE</v>
      </c>
      <c r="AP8" t="str">
        <f ca="1"/>
        <v>Standard</v>
      </c>
      <c r="AQ8">
        <f ca="1"/>
        <v>44407</v>
      </c>
      <c r="AR8">
        <f ca="1"/>
        <v>3499.95</v>
      </c>
      <c r="AS8">
        <f ca="1"/>
        <v>46057</v>
      </c>
      <c r="AT8">
        <f ca="1"/>
        <v>46057.595634259262</v>
      </c>
      <c r="AU8">
        <f ca="1"/>
        <v>617</v>
      </c>
      <c r="AV8">
        <f ca="1"/>
        <v>45443</v>
      </c>
      <c r="AW8">
        <f ca="1"/>
        <v>46040.622929282406</v>
      </c>
    </row>
    <row r="9" spans="1:49" ht="15.75" thickBot="1" x14ac:dyDescent="0.3">
      <c r="A9" s="5" t="s">
        <v>54</v>
      </c>
      <c r="B9" s="3">
        <v>45403</v>
      </c>
      <c r="C9" s="12" t="str">
        <f>TEXT(Table1[[#This Row],[Date]],"mmm")</f>
        <v>Apr</v>
      </c>
      <c r="D9" s="12">
        <f>YEAR(Table1[[#This Row],[Date]])</f>
        <v>2024</v>
      </c>
      <c r="E9" s="3" t="str">
        <f>TEXT(Table1[[#This Row],[Date]],"mmm-yyyy")</f>
        <v>Apr-2024</v>
      </c>
      <c r="F9" s="1" t="s">
        <v>55</v>
      </c>
      <c r="G9" s="1" t="s">
        <v>56</v>
      </c>
      <c r="H9" s="1" t="str">
        <f>LEFT(Table1[[#This Row],[Customer_Name]],1)&amp;LEFT(MID(Table1[[#This Row],[Customer_Name]],FIND(" ",Table1[[#This Row],[Customer_Name]])+1,50),1)</f>
        <v>CA</v>
      </c>
      <c r="I9" s="1" t="s">
        <v>31</v>
      </c>
      <c r="J9" s="1" t="s">
        <v>32</v>
      </c>
      <c r="K9" s="1" t="s">
        <v>33</v>
      </c>
      <c r="L9" s="12">
        <v>3</v>
      </c>
      <c r="M9" s="16">
        <v>59.99</v>
      </c>
      <c r="N9" s="1" t="s">
        <v>57</v>
      </c>
      <c r="O9" s="1" t="s">
        <v>35</v>
      </c>
      <c r="P9" s="1" t="str">
        <f>UPPER(LEFT(Table1[[#This Row],[Region]],2))</f>
        <v>SO</v>
      </c>
      <c r="Q9" s="1" t="s">
        <v>22</v>
      </c>
      <c r="R9" s="3">
        <v>45007</v>
      </c>
      <c r="S9" s="20">
        <v>179.97</v>
      </c>
      <c r="T9" s="23">
        <f t="shared" ca="1" si="0"/>
        <v>46057</v>
      </c>
      <c r="U9" s="26">
        <f t="shared" ca="1" si="1"/>
        <v>46057.595634259262</v>
      </c>
      <c r="V9" s="25">
        <f ca="1">DATEDIF(Table1[[#This Row],[Date]],TODAY(),"d")</f>
        <v>654</v>
      </c>
      <c r="W9" s="28">
        <f>EOMONTH(Table1[[#This Row],[Date]],0)</f>
        <v>45412</v>
      </c>
      <c r="X9" s="26">
        <f t="shared" ca="1" si="2"/>
        <v>46040.622929282406</v>
      </c>
      <c r="Z9" t="str">
        <f ca="1"/>
        <v>TRX0158</v>
      </c>
      <c r="AA9">
        <f ca="1"/>
        <v>45579</v>
      </c>
      <c r="AB9" t="str">
        <f ca="1"/>
        <v>Oct</v>
      </c>
      <c r="AC9">
        <f ca="1"/>
        <v>2024</v>
      </c>
      <c r="AD9" t="str">
        <f ca="1"/>
        <v>Oct-2024</v>
      </c>
      <c r="AE9" t="str">
        <f ca="1"/>
        <v>CUST027</v>
      </c>
      <c r="AF9" t="str">
        <f ca="1"/>
        <v>George Adams</v>
      </c>
      <c r="AG9" t="str">
        <f ca="1"/>
        <v>GA</v>
      </c>
      <c r="AH9" t="str">
        <f ca="1"/>
        <v>P001</v>
      </c>
      <c r="AI9" t="str">
        <f ca="1"/>
        <v>Laptop</v>
      </c>
      <c r="AJ9" t="str">
        <f ca="1"/>
        <v>Electronics</v>
      </c>
      <c r="AK9">
        <f ca="1"/>
        <v>3</v>
      </c>
      <c r="AL9">
        <f ca="1"/>
        <v>899.99</v>
      </c>
      <c r="AM9" t="str">
        <f ca="1"/>
        <v>PayPal</v>
      </c>
      <c r="AN9" t="str">
        <f ca="1"/>
        <v>West</v>
      </c>
      <c r="AO9" t="str">
        <f ca="1"/>
        <v>WE</v>
      </c>
      <c r="AP9" t="str">
        <f ca="1"/>
        <v>Basic</v>
      </c>
      <c r="AQ9">
        <f ca="1"/>
        <v>45215</v>
      </c>
      <c r="AR9">
        <f ca="1"/>
        <v>2699.97</v>
      </c>
      <c r="AS9">
        <f ca="1"/>
        <v>46057</v>
      </c>
      <c r="AT9">
        <f ca="1"/>
        <v>46057.595634259262</v>
      </c>
      <c r="AU9">
        <f ca="1"/>
        <v>478</v>
      </c>
      <c r="AV9">
        <f ca="1"/>
        <v>45596</v>
      </c>
      <c r="AW9">
        <f ca="1"/>
        <v>46040.622929282406</v>
      </c>
    </row>
    <row r="10" spans="1:49" ht="15.75" thickBot="1" x14ac:dyDescent="0.3">
      <c r="A10" s="5" t="s">
        <v>58</v>
      </c>
      <c r="B10" s="3">
        <v>45405</v>
      </c>
      <c r="C10" s="12" t="str">
        <f>TEXT(Table1[[#This Row],[Date]],"mmm")</f>
        <v>Apr</v>
      </c>
      <c r="D10" s="12">
        <f>YEAR(Table1[[#This Row],[Date]])</f>
        <v>2024</v>
      </c>
      <c r="E10" s="3" t="str">
        <f>TEXT(Table1[[#This Row],[Date]],"mmm-yyyy")</f>
        <v>Apr-2024</v>
      </c>
      <c r="F10" s="1" t="s">
        <v>59</v>
      </c>
      <c r="G10" s="1" t="s">
        <v>60</v>
      </c>
      <c r="H10" s="1" t="str">
        <f>LEFT(Table1[[#This Row],[Customer_Name]],1)&amp;LEFT(MID(Table1[[#This Row],[Customer_Name]],FIND(" ",Table1[[#This Row],[Customer_Name]])+1,50),1)</f>
        <v>RT</v>
      </c>
      <c r="I10" s="1" t="s">
        <v>61</v>
      </c>
      <c r="J10" s="1" t="s">
        <v>62</v>
      </c>
      <c r="K10" s="1" t="s">
        <v>19</v>
      </c>
      <c r="L10" s="12">
        <v>3</v>
      </c>
      <c r="M10" s="16">
        <v>899.99</v>
      </c>
      <c r="N10" s="1" t="s">
        <v>34</v>
      </c>
      <c r="O10" s="1" t="s">
        <v>63</v>
      </c>
      <c r="P10" s="1" t="str">
        <f>UPPER(LEFT(Table1[[#This Row],[Region]],2))</f>
        <v>EA</v>
      </c>
      <c r="Q10" s="1" t="s">
        <v>36</v>
      </c>
      <c r="R10" s="3">
        <v>45299</v>
      </c>
      <c r="S10" s="20">
        <v>2699.97</v>
      </c>
      <c r="T10" s="23">
        <f t="shared" ca="1" si="0"/>
        <v>46057</v>
      </c>
      <c r="U10" s="26">
        <f t="shared" ca="1" si="1"/>
        <v>46057.595634259262</v>
      </c>
      <c r="V10" s="25">
        <f ca="1">DATEDIF(Table1[[#This Row],[Date]],TODAY(),"d")</f>
        <v>652</v>
      </c>
      <c r="W10" s="28">
        <f>EOMONTH(Table1[[#This Row],[Date]],0)</f>
        <v>45412</v>
      </c>
      <c r="X10" s="26">
        <f t="shared" ca="1" si="2"/>
        <v>46040.622929282406</v>
      </c>
      <c r="Z10" t="str">
        <f ca="1"/>
        <v>TRX0076</v>
      </c>
      <c r="AA10">
        <f ca="1"/>
        <v>45607</v>
      </c>
      <c r="AB10" t="str">
        <f ca="1"/>
        <v>Nov</v>
      </c>
      <c r="AC10">
        <f ca="1"/>
        <v>2024</v>
      </c>
      <c r="AD10" t="str">
        <f ca="1"/>
        <v>Nov-2024</v>
      </c>
      <c r="AE10" t="str">
        <f ca="1"/>
        <v>CUST012</v>
      </c>
      <c r="AF10" t="str">
        <f ca="1"/>
        <v>Patricia Moore</v>
      </c>
      <c r="AG10" t="str">
        <f ca="1"/>
        <v>PM</v>
      </c>
      <c r="AH10" t="str">
        <f ca="1"/>
        <v>P009</v>
      </c>
      <c r="AI10" t="str">
        <f ca="1"/>
        <v>Monitor</v>
      </c>
      <c r="AJ10" t="str">
        <f ca="1"/>
        <v>Electronics</v>
      </c>
      <c r="AK10">
        <f ca="1"/>
        <v>4</v>
      </c>
      <c r="AL10">
        <f ca="1"/>
        <v>249.99</v>
      </c>
      <c r="AM10" t="str">
        <f ca="1"/>
        <v>Credit Card</v>
      </c>
      <c r="AN10" t="str">
        <f ca="1"/>
        <v>West</v>
      </c>
      <c r="AO10" t="str">
        <f ca="1"/>
        <v>WE</v>
      </c>
      <c r="AP10" t="str">
        <f ca="1"/>
        <v>Standard</v>
      </c>
      <c r="AQ10">
        <f ca="1"/>
        <v>44659</v>
      </c>
      <c r="AR10">
        <f ca="1"/>
        <v>999.96</v>
      </c>
      <c r="AS10">
        <f ca="1"/>
        <v>46057</v>
      </c>
      <c r="AT10">
        <f ca="1"/>
        <v>46057.595634259262</v>
      </c>
      <c r="AU10">
        <f ca="1"/>
        <v>450</v>
      </c>
      <c r="AV10">
        <f ca="1"/>
        <v>45626</v>
      </c>
      <c r="AW10">
        <f ca="1"/>
        <v>46040.622929282406</v>
      </c>
    </row>
    <row r="11" spans="1:49" ht="15.75" thickBot="1" x14ac:dyDescent="0.3">
      <c r="A11" s="5" t="s">
        <v>64</v>
      </c>
      <c r="B11" s="3">
        <v>45408</v>
      </c>
      <c r="C11" s="12" t="str">
        <f>TEXT(Table1[[#This Row],[Date]],"mmm")</f>
        <v>Apr</v>
      </c>
      <c r="D11" s="12">
        <f>YEAR(Table1[[#This Row],[Date]])</f>
        <v>2024</v>
      </c>
      <c r="E11" s="3" t="str">
        <f>TEXT(Table1[[#This Row],[Date]],"mmm-yyyy")</f>
        <v>Apr-2024</v>
      </c>
      <c r="F11" s="1" t="s">
        <v>65</v>
      </c>
      <c r="G11" s="1" t="s">
        <v>66</v>
      </c>
      <c r="H11" s="1" t="str">
        <f>LEFT(Table1[[#This Row],[Customer_Name]],1)&amp;LEFT(MID(Table1[[#This Row],[Customer_Name]],FIND(" ",Table1[[#This Row],[Customer_Name]])+1,50),1)</f>
        <v>KH</v>
      </c>
      <c r="I11" s="1" t="s">
        <v>31</v>
      </c>
      <c r="J11" s="1" t="s">
        <v>32</v>
      </c>
      <c r="K11" s="1" t="s">
        <v>33</v>
      </c>
      <c r="L11" s="12">
        <v>3</v>
      </c>
      <c r="M11" s="16">
        <v>59.99</v>
      </c>
      <c r="N11" s="1" t="s">
        <v>20</v>
      </c>
      <c r="O11" s="1" t="s">
        <v>50</v>
      </c>
      <c r="P11" s="1" t="str">
        <f>UPPER(LEFT(Table1[[#This Row],[Region]],2))</f>
        <v>WE</v>
      </c>
      <c r="Q11" s="1" t="s">
        <v>27</v>
      </c>
      <c r="R11" s="3">
        <v>45207</v>
      </c>
      <c r="S11" s="20">
        <v>179.97</v>
      </c>
      <c r="T11" s="23">
        <f t="shared" ca="1" si="0"/>
        <v>46057</v>
      </c>
      <c r="U11" s="26">
        <f t="shared" ca="1" si="1"/>
        <v>46057.595634259262</v>
      </c>
      <c r="V11" s="25">
        <f ca="1">DATEDIF(Table1[[#This Row],[Date]],TODAY(),"d")</f>
        <v>649</v>
      </c>
      <c r="W11" s="28">
        <f>EOMONTH(Table1[[#This Row],[Date]],0)</f>
        <v>45412</v>
      </c>
      <c r="X11" s="26">
        <f t="shared" ca="1" si="2"/>
        <v>46040.622929282406</v>
      </c>
      <c r="Z11" t="str">
        <f ca="1"/>
        <v>TRX0033</v>
      </c>
      <c r="AA11">
        <f ca="1"/>
        <v>45613</v>
      </c>
      <c r="AB11" t="str">
        <f ca="1"/>
        <v>Nov</v>
      </c>
      <c r="AC11">
        <f ca="1"/>
        <v>2024</v>
      </c>
      <c r="AD11" t="str">
        <f ca="1"/>
        <v>Nov-2024</v>
      </c>
      <c r="AE11" t="str">
        <f ca="1"/>
        <v>CUST025</v>
      </c>
      <c r="AF11" t="str">
        <f ca="1"/>
        <v>Mark Carter</v>
      </c>
      <c r="AG11" t="str">
        <f ca="1"/>
        <v>MC</v>
      </c>
      <c r="AH11" t="str">
        <f ca="1"/>
        <v>P002</v>
      </c>
      <c r="AI11" t="str">
        <f ca="1"/>
        <v>Smartphone</v>
      </c>
      <c r="AJ11" t="str">
        <f ca="1"/>
        <v>Electronics</v>
      </c>
      <c r="AK11">
        <f ca="1"/>
        <v>2</v>
      </c>
      <c r="AL11">
        <f ca="1"/>
        <v>699.99</v>
      </c>
      <c r="AM11" t="str">
        <f ca="1"/>
        <v>PayPal</v>
      </c>
      <c r="AN11" t="str">
        <f ca="1"/>
        <v>West</v>
      </c>
      <c r="AO11" t="str">
        <f ca="1"/>
        <v>WE</v>
      </c>
      <c r="AP11" t="str">
        <f ca="1"/>
        <v>Standard</v>
      </c>
      <c r="AQ11">
        <f ca="1"/>
        <v>44770</v>
      </c>
      <c r="AR11">
        <f ca="1"/>
        <v>1399.98</v>
      </c>
      <c r="AS11">
        <f ca="1"/>
        <v>46057</v>
      </c>
      <c r="AT11">
        <f ca="1"/>
        <v>46057.595634259262</v>
      </c>
      <c r="AU11">
        <f ca="1"/>
        <v>444</v>
      </c>
      <c r="AV11">
        <f ca="1"/>
        <v>45626</v>
      </c>
      <c r="AW11">
        <f ca="1"/>
        <v>46040.622929282406</v>
      </c>
    </row>
    <row r="12" spans="1:49" ht="15.75" thickBot="1" x14ac:dyDescent="0.3">
      <c r="A12" s="5" t="s">
        <v>67</v>
      </c>
      <c r="B12" s="3">
        <v>45408</v>
      </c>
      <c r="C12" s="12" t="str">
        <f>TEXT(Table1[[#This Row],[Date]],"mmm")</f>
        <v>Apr</v>
      </c>
      <c r="D12" s="12">
        <f>YEAR(Table1[[#This Row],[Date]])</f>
        <v>2024</v>
      </c>
      <c r="E12" s="3" t="str">
        <f>TEXT(Table1[[#This Row],[Date]],"mmm-yyyy")</f>
        <v>Apr-2024</v>
      </c>
      <c r="F12" s="1" t="s">
        <v>68</v>
      </c>
      <c r="G12" s="1" t="s">
        <v>69</v>
      </c>
      <c r="H12" s="1" t="str">
        <f>LEFT(Table1[[#This Row],[Customer_Name]],1)&amp;LEFT(MID(Table1[[#This Row],[Customer_Name]],FIND(" ",Table1[[#This Row],[Customer_Name]])+1,50),1)</f>
        <v>SG</v>
      </c>
      <c r="I12" s="1" t="s">
        <v>44</v>
      </c>
      <c r="J12" s="1" t="s">
        <v>45</v>
      </c>
      <c r="K12" s="1" t="s">
        <v>46</v>
      </c>
      <c r="L12" s="12">
        <v>1</v>
      </c>
      <c r="M12" s="16">
        <v>149.99</v>
      </c>
      <c r="N12" s="1" t="s">
        <v>26</v>
      </c>
      <c r="O12" s="1" t="s">
        <v>50</v>
      </c>
      <c r="P12" s="1" t="str">
        <f>UPPER(LEFT(Table1[[#This Row],[Region]],2))</f>
        <v>WE</v>
      </c>
      <c r="Q12" s="1" t="s">
        <v>36</v>
      </c>
      <c r="R12" s="3">
        <v>45103</v>
      </c>
      <c r="S12" s="20">
        <v>149.99</v>
      </c>
      <c r="T12" s="23">
        <f t="shared" ca="1" si="0"/>
        <v>46057</v>
      </c>
      <c r="U12" s="26">
        <f t="shared" ca="1" si="1"/>
        <v>46057.595634259262</v>
      </c>
      <c r="V12" s="25">
        <f ca="1">DATEDIF(Table1[[#This Row],[Date]],TODAY(),"d")</f>
        <v>649</v>
      </c>
      <c r="W12" s="28">
        <f>EOMONTH(Table1[[#This Row],[Date]],0)</f>
        <v>45412</v>
      </c>
      <c r="X12" s="26">
        <f t="shared" ca="1" si="2"/>
        <v>46040.622929282406</v>
      </c>
      <c r="Z12" t="str">
        <f ca="1"/>
        <v>TRX0148</v>
      </c>
      <c r="AA12">
        <f ca="1"/>
        <v>45619</v>
      </c>
      <c r="AB12" t="str">
        <f ca="1"/>
        <v>Nov</v>
      </c>
      <c r="AC12">
        <f ca="1"/>
        <v>2024</v>
      </c>
      <c r="AD12" t="str">
        <f ca="1"/>
        <v>Nov-2024</v>
      </c>
      <c r="AE12" t="str">
        <f ca="1"/>
        <v>CUST004</v>
      </c>
      <c r="AF12" t="str">
        <f ca="1"/>
        <v>Sarah Davis</v>
      </c>
      <c r="AG12" t="str">
        <f ca="1"/>
        <v>SD</v>
      </c>
      <c r="AH12" t="str">
        <f ca="1"/>
        <v>P002</v>
      </c>
      <c r="AI12" t="str">
        <f ca="1"/>
        <v>Smartphone</v>
      </c>
      <c r="AJ12" t="str">
        <f ca="1"/>
        <v>Electronics</v>
      </c>
      <c r="AK12">
        <f ca="1"/>
        <v>3</v>
      </c>
      <c r="AL12">
        <f ca="1"/>
        <v>699.99</v>
      </c>
      <c r="AM12" t="str">
        <f ca="1"/>
        <v>PayPal</v>
      </c>
      <c r="AN12" t="str">
        <f ca="1"/>
        <v>West</v>
      </c>
      <c r="AO12" t="str">
        <f ca="1"/>
        <v>WE</v>
      </c>
      <c r="AP12" t="str">
        <f ca="1"/>
        <v>Standard</v>
      </c>
      <c r="AQ12">
        <f ca="1"/>
        <v>44583</v>
      </c>
      <c r="AR12">
        <f ca="1"/>
        <v>2099.9699999999998</v>
      </c>
      <c r="AS12">
        <f ca="1"/>
        <v>46057</v>
      </c>
      <c r="AT12">
        <f ca="1"/>
        <v>46057.595634259262</v>
      </c>
      <c r="AU12">
        <f ca="1"/>
        <v>438</v>
      </c>
      <c r="AV12">
        <f ca="1"/>
        <v>45626</v>
      </c>
      <c r="AW12">
        <f ca="1"/>
        <v>46040.622929282406</v>
      </c>
    </row>
    <row r="13" spans="1:49" ht="15.75" thickBot="1" x14ac:dyDescent="0.3">
      <c r="A13" s="5" t="s">
        <v>70</v>
      </c>
      <c r="B13" s="3">
        <v>45408</v>
      </c>
      <c r="C13" s="12" t="str">
        <f>TEXT(Table1[[#This Row],[Date]],"mmm")</f>
        <v>Apr</v>
      </c>
      <c r="D13" s="12">
        <f>YEAR(Table1[[#This Row],[Date]])</f>
        <v>2024</v>
      </c>
      <c r="E13" s="3" t="str">
        <f>TEXT(Table1[[#This Row],[Date]],"mmm-yyyy")</f>
        <v>Apr-2024</v>
      </c>
      <c r="F13" s="1" t="s">
        <v>38</v>
      </c>
      <c r="G13" s="1" t="s">
        <v>39</v>
      </c>
      <c r="H13" s="1" t="str">
        <f>LEFT(Table1[[#This Row],[Customer_Name]],1)&amp;LEFT(MID(Table1[[#This Row],[Customer_Name]],FIND(" ",Table1[[#This Row],[Customer_Name]])+1,50),1)</f>
        <v>KB</v>
      </c>
      <c r="I13" s="1" t="s">
        <v>44</v>
      </c>
      <c r="J13" s="1" t="s">
        <v>45</v>
      </c>
      <c r="K13" s="1" t="s">
        <v>46</v>
      </c>
      <c r="L13" s="12">
        <v>5</v>
      </c>
      <c r="M13" s="16">
        <v>149.99</v>
      </c>
      <c r="N13" s="1" t="s">
        <v>57</v>
      </c>
      <c r="O13" s="1" t="s">
        <v>40</v>
      </c>
      <c r="P13" s="1" t="str">
        <f>UPPER(LEFT(Table1[[#This Row],[Region]],2))</f>
        <v>NO</v>
      </c>
      <c r="Q13" s="1" t="s">
        <v>22</v>
      </c>
      <c r="R13" s="3">
        <v>44830</v>
      </c>
      <c r="S13" s="20">
        <v>749.95</v>
      </c>
      <c r="T13" s="23">
        <f t="shared" ca="1" si="0"/>
        <v>46057</v>
      </c>
      <c r="U13" s="26">
        <f t="shared" ca="1" si="1"/>
        <v>46057.595634259262</v>
      </c>
      <c r="V13" s="25">
        <f ca="1">DATEDIF(Table1[[#This Row],[Date]],TODAY(),"d")</f>
        <v>649</v>
      </c>
      <c r="W13" s="28">
        <f>EOMONTH(Table1[[#This Row],[Date]],0)</f>
        <v>45412</v>
      </c>
      <c r="X13" s="26">
        <f t="shared" ca="1" si="2"/>
        <v>46040.622929282406</v>
      </c>
      <c r="Z13" t="str">
        <f ca="1"/>
        <v>TRX0201</v>
      </c>
      <c r="AA13">
        <f ca="1"/>
        <v>45627</v>
      </c>
      <c r="AB13" t="str">
        <f ca="1"/>
        <v>Dec</v>
      </c>
      <c r="AC13">
        <f ca="1"/>
        <v>2024</v>
      </c>
      <c r="AD13" t="str">
        <f ca="1"/>
        <v>Dec-2024</v>
      </c>
      <c r="AE13" t="str">
        <f ca="1"/>
        <v>CUST025</v>
      </c>
      <c r="AF13" t="str">
        <f ca="1"/>
        <v>Mark Carter</v>
      </c>
      <c r="AG13" t="str">
        <f ca="1"/>
        <v>MC</v>
      </c>
      <c r="AH13" t="str">
        <f ca="1"/>
        <v>P002</v>
      </c>
      <c r="AI13" t="str">
        <f ca="1"/>
        <v>Smartphone</v>
      </c>
      <c r="AJ13" t="str">
        <f ca="1"/>
        <v>Electronics</v>
      </c>
      <c r="AK13">
        <f ca="1"/>
        <v>5</v>
      </c>
      <c r="AL13">
        <f ca="1"/>
        <v>699.99</v>
      </c>
      <c r="AM13" t="str">
        <f ca="1"/>
        <v>Debit Card</v>
      </c>
      <c r="AN13" t="str">
        <f ca="1"/>
        <v>West</v>
      </c>
      <c r="AO13" t="str">
        <f ca="1"/>
        <v>WE</v>
      </c>
      <c r="AP13" t="str">
        <f ca="1"/>
        <v>Standard</v>
      </c>
      <c r="AQ13">
        <f ca="1"/>
        <v>44944</v>
      </c>
      <c r="AR13">
        <f ca="1"/>
        <v>3499.95</v>
      </c>
      <c r="AS13">
        <f ca="1"/>
        <v>46057</v>
      </c>
      <c r="AT13">
        <f ca="1"/>
        <v>46057.595634259262</v>
      </c>
      <c r="AU13">
        <f ca="1"/>
        <v>430</v>
      </c>
      <c r="AV13">
        <f ca="1"/>
        <v>45657</v>
      </c>
      <c r="AW13">
        <f ca="1"/>
        <v>46040.622929282406</v>
      </c>
    </row>
    <row r="14" spans="1:49" ht="15.75" thickBot="1" x14ac:dyDescent="0.3">
      <c r="A14" s="5" t="s">
        <v>71</v>
      </c>
      <c r="B14" s="3">
        <v>45408</v>
      </c>
      <c r="C14" s="12" t="str">
        <f>TEXT(Table1[[#This Row],[Date]],"mmm")</f>
        <v>Apr</v>
      </c>
      <c r="D14" s="12">
        <f>YEAR(Table1[[#This Row],[Date]])</f>
        <v>2024</v>
      </c>
      <c r="E14" s="3" t="str">
        <f>TEXT(Table1[[#This Row],[Date]],"mmm-yyyy")</f>
        <v>Apr-2024</v>
      </c>
      <c r="F14" s="1" t="s">
        <v>72</v>
      </c>
      <c r="G14" s="1" t="s">
        <v>73</v>
      </c>
      <c r="H14" s="1" t="str">
        <f>LEFT(Table1[[#This Row],[Customer_Name]],1)&amp;LEFT(MID(Table1[[#This Row],[Customer_Name]],FIND(" ",Table1[[#This Row],[Customer_Name]])+1,50),1)</f>
        <v>PR</v>
      </c>
      <c r="I14" s="1" t="s">
        <v>44</v>
      </c>
      <c r="J14" s="1" t="s">
        <v>45</v>
      </c>
      <c r="K14" s="1" t="s">
        <v>46</v>
      </c>
      <c r="L14" s="12">
        <v>3</v>
      </c>
      <c r="M14" s="16">
        <v>149.99</v>
      </c>
      <c r="N14" s="1" t="s">
        <v>20</v>
      </c>
      <c r="O14" s="1" t="s">
        <v>40</v>
      </c>
      <c r="P14" s="1" t="str">
        <f>UPPER(LEFT(Table1[[#This Row],[Region]],2))</f>
        <v>NO</v>
      </c>
      <c r="Q14" s="1" t="s">
        <v>27</v>
      </c>
      <c r="R14" s="3">
        <v>44806</v>
      </c>
      <c r="S14" s="20">
        <v>449.97</v>
      </c>
      <c r="T14" s="23">
        <f t="shared" ca="1" si="0"/>
        <v>46057</v>
      </c>
      <c r="U14" s="26">
        <f t="shared" ca="1" si="1"/>
        <v>46057.595634259262</v>
      </c>
      <c r="V14" s="25">
        <f ca="1">DATEDIF(Table1[[#This Row],[Date]],TODAY(),"d")</f>
        <v>649</v>
      </c>
      <c r="W14" s="28">
        <f>EOMONTH(Table1[[#This Row],[Date]],0)</f>
        <v>45412</v>
      </c>
      <c r="X14" s="26">
        <f t="shared" ca="1" si="2"/>
        <v>46040.622929282406</v>
      </c>
      <c r="Z14" t="str">
        <f ca="1"/>
        <v>TRX0010</v>
      </c>
      <c r="AA14">
        <f ca="1"/>
        <v>45688</v>
      </c>
      <c r="AB14" t="str">
        <f ca="1"/>
        <v>Jan</v>
      </c>
      <c r="AC14">
        <f ca="1"/>
        <v>2025</v>
      </c>
      <c r="AD14" t="str">
        <f ca="1"/>
        <v>Jan-2025</v>
      </c>
      <c r="AE14" t="str">
        <f ca="1"/>
        <v>CUST026</v>
      </c>
      <c r="AF14" t="str">
        <f ca="1"/>
        <v>Karen Hill</v>
      </c>
      <c r="AG14" t="str">
        <f ca="1"/>
        <v>KH</v>
      </c>
      <c r="AH14" t="str">
        <f ca="1"/>
        <v>P002</v>
      </c>
      <c r="AI14" t="str">
        <f ca="1"/>
        <v>Smartphone</v>
      </c>
      <c r="AJ14" t="str">
        <f ca="1"/>
        <v>Electronics</v>
      </c>
      <c r="AK14">
        <f ca="1"/>
        <v>4</v>
      </c>
      <c r="AL14">
        <f ca="1"/>
        <v>699.99</v>
      </c>
      <c r="AM14" t="str">
        <f ca="1"/>
        <v>Debit Card</v>
      </c>
      <c r="AN14" t="str">
        <f ca="1"/>
        <v>West</v>
      </c>
      <c r="AO14" t="str">
        <f ca="1"/>
        <v>WE</v>
      </c>
      <c r="AP14" t="str">
        <f ca="1"/>
        <v>Premium</v>
      </c>
      <c r="AQ14">
        <f ca="1"/>
        <v>44692</v>
      </c>
      <c r="AR14">
        <f ca="1"/>
        <v>2799.96</v>
      </c>
      <c r="AS14">
        <f ca="1"/>
        <v>46057</v>
      </c>
      <c r="AT14">
        <f ca="1"/>
        <v>46057.595634259262</v>
      </c>
      <c r="AU14">
        <f ca="1"/>
        <v>369</v>
      </c>
      <c r="AV14">
        <f ca="1"/>
        <v>45688</v>
      </c>
      <c r="AW14">
        <f ca="1"/>
        <v>46040.622929282406</v>
      </c>
    </row>
    <row r="15" spans="1:49" ht="15.75" thickBot="1" x14ac:dyDescent="0.3">
      <c r="A15" s="5" t="s">
        <v>74</v>
      </c>
      <c r="B15" s="3">
        <v>45409</v>
      </c>
      <c r="C15" s="12" t="str">
        <f>TEXT(Table1[[#This Row],[Date]],"mmm")</f>
        <v>Apr</v>
      </c>
      <c r="D15" s="12">
        <f>YEAR(Table1[[#This Row],[Date]])</f>
        <v>2024</v>
      </c>
      <c r="E15" s="3" t="str">
        <f>TEXT(Table1[[#This Row],[Date]],"mmm-yyyy")</f>
        <v>Apr-2024</v>
      </c>
      <c r="F15" s="1" t="s">
        <v>75</v>
      </c>
      <c r="G15" s="1" t="s">
        <v>76</v>
      </c>
      <c r="H15" s="1" t="str">
        <f>LEFT(Table1[[#This Row],[Customer_Name]],1)&amp;LEFT(MID(Table1[[#This Row],[Customer_Name]],FIND(" ",Table1[[#This Row],[Customer_Name]])+1,50),1)</f>
        <v>DG</v>
      </c>
      <c r="I15" s="1" t="s">
        <v>31</v>
      </c>
      <c r="J15" s="1" t="s">
        <v>32</v>
      </c>
      <c r="K15" s="1" t="s">
        <v>33</v>
      </c>
      <c r="L15" s="12">
        <v>3</v>
      </c>
      <c r="M15" s="16">
        <v>59.99</v>
      </c>
      <c r="N15" s="1" t="s">
        <v>26</v>
      </c>
      <c r="O15" s="1" t="s">
        <v>40</v>
      </c>
      <c r="P15" s="1" t="str">
        <f>UPPER(LEFT(Table1[[#This Row],[Region]],2))</f>
        <v>NO</v>
      </c>
      <c r="Q15" s="1" t="s">
        <v>36</v>
      </c>
      <c r="R15" s="3">
        <v>45351</v>
      </c>
      <c r="S15" s="20">
        <v>179.97</v>
      </c>
      <c r="T15" s="23">
        <f t="shared" ca="1" si="0"/>
        <v>46057</v>
      </c>
      <c r="U15" s="26">
        <f t="shared" ca="1" si="1"/>
        <v>46057.595634259262</v>
      </c>
      <c r="V15" s="25">
        <f ca="1">DATEDIF(Table1[[#This Row],[Date]],TODAY(),"d")</f>
        <v>648</v>
      </c>
      <c r="W15" s="28">
        <f>EOMONTH(Table1[[#This Row],[Date]],0)</f>
        <v>45412</v>
      </c>
      <c r="X15" s="26">
        <f t="shared" ca="1" si="2"/>
        <v>46040.622929282406</v>
      </c>
      <c r="Z15" t="str">
        <f ca="1"/>
        <v>TRX0083</v>
      </c>
      <c r="AA15">
        <f ca="1"/>
        <v>45710</v>
      </c>
      <c r="AB15" t="str">
        <f ca="1"/>
        <v>Feb</v>
      </c>
      <c r="AC15">
        <f ca="1"/>
        <v>2025</v>
      </c>
      <c r="AD15" t="str">
        <f ca="1"/>
        <v>Feb-2025</v>
      </c>
      <c r="AE15" t="str">
        <f ca="1"/>
        <v>CUST017</v>
      </c>
      <c r="AF15" t="str">
        <f ca="1"/>
        <v>Charles Allen</v>
      </c>
      <c r="AG15" t="str">
        <f ca="1"/>
        <v>CA</v>
      </c>
      <c r="AH15" t="str">
        <f ca="1"/>
        <v>P007</v>
      </c>
      <c r="AI15" t="str">
        <f ca="1"/>
        <v>Desk</v>
      </c>
      <c r="AJ15" t="str">
        <f ca="1"/>
        <v>Furniture</v>
      </c>
      <c r="AK15">
        <f ca="1"/>
        <v>5</v>
      </c>
      <c r="AL15">
        <f ca="1"/>
        <v>299.99</v>
      </c>
      <c r="AM15" t="str">
        <f ca="1"/>
        <v>Cash</v>
      </c>
      <c r="AN15" t="str">
        <f ca="1"/>
        <v>West</v>
      </c>
      <c r="AO15" t="str">
        <f ca="1"/>
        <v>WE</v>
      </c>
      <c r="AP15" t="str">
        <f ca="1"/>
        <v>Standard</v>
      </c>
      <c r="AQ15">
        <f ca="1"/>
        <v>45142</v>
      </c>
      <c r="AR15">
        <f ca="1"/>
        <v>1499.95</v>
      </c>
      <c r="AS15">
        <f ca="1"/>
        <v>46057</v>
      </c>
      <c r="AT15">
        <f ca="1"/>
        <v>46057.595634259262</v>
      </c>
      <c r="AU15">
        <f ca="1"/>
        <v>347</v>
      </c>
      <c r="AV15">
        <f ca="1"/>
        <v>45716</v>
      </c>
      <c r="AW15">
        <f ca="1"/>
        <v>46040.622929282406</v>
      </c>
    </row>
    <row r="16" spans="1:49" ht="15.75" thickBot="1" x14ac:dyDescent="0.3">
      <c r="A16" s="5" t="s">
        <v>77</v>
      </c>
      <c r="B16" s="3">
        <v>45409</v>
      </c>
      <c r="C16" s="12" t="str">
        <f>TEXT(Table1[[#This Row],[Date]],"mmm")</f>
        <v>Apr</v>
      </c>
      <c r="D16" s="12">
        <f>YEAR(Table1[[#This Row],[Date]])</f>
        <v>2024</v>
      </c>
      <c r="E16" s="3" t="str">
        <f>TEXT(Table1[[#This Row],[Date]],"mmm-yyyy")</f>
        <v>Apr-2024</v>
      </c>
      <c r="F16" s="1" t="s">
        <v>78</v>
      </c>
      <c r="G16" s="1" t="s">
        <v>79</v>
      </c>
      <c r="H16" s="1" t="str">
        <f>LEFT(Table1[[#This Row],[Customer_Name]],1)&amp;LEFT(MID(Table1[[#This Row],[Customer_Name]],FIND(" ",Table1[[#This Row],[Customer_Name]])+1,50),1)</f>
        <v>MR</v>
      </c>
      <c r="I16" s="1" t="s">
        <v>80</v>
      </c>
      <c r="J16" s="1" t="s">
        <v>81</v>
      </c>
      <c r="K16" s="1" t="s">
        <v>19</v>
      </c>
      <c r="L16" s="12">
        <v>3</v>
      </c>
      <c r="M16" s="16">
        <v>699.99</v>
      </c>
      <c r="N16" s="1" t="s">
        <v>26</v>
      </c>
      <c r="O16" s="1" t="s">
        <v>50</v>
      </c>
      <c r="P16" s="1" t="str">
        <f>UPPER(LEFT(Table1[[#This Row],[Region]],2))</f>
        <v>WE</v>
      </c>
      <c r="Q16" s="1" t="s">
        <v>22</v>
      </c>
      <c r="R16" s="3">
        <v>44577</v>
      </c>
      <c r="S16" s="20">
        <v>2099.9699999999998</v>
      </c>
      <c r="T16" s="23">
        <f t="shared" ca="1" si="0"/>
        <v>46057</v>
      </c>
      <c r="U16" s="26">
        <f t="shared" ca="1" si="1"/>
        <v>46057.595634259262</v>
      </c>
      <c r="V16" s="25">
        <f ca="1">DATEDIF(Table1[[#This Row],[Date]],TODAY(),"d")</f>
        <v>648</v>
      </c>
      <c r="W16" s="28">
        <f>EOMONTH(Table1[[#This Row],[Date]],0)</f>
        <v>45412</v>
      </c>
      <c r="X16" s="26">
        <f t="shared" ca="1" si="2"/>
        <v>46040.622929282406</v>
      </c>
    </row>
    <row r="17" spans="1:24" ht="15.75" thickBot="1" x14ac:dyDescent="0.3">
      <c r="A17" s="5" t="s">
        <v>82</v>
      </c>
      <c r="B17" s="3">
        <v>45409</v>
      </c>
      <c r="C17" s="12" t="str">
        <f>TEXT(Table1[[#This Row],[Date]],"mmm")</f>
        <v>Apr</v>
      </c>
      <c r="D17" s="12">
        <f>YEAR(Table1[[#This Row],[Date]])</f>
        <v>2024</v>
      </c>
      <c r="E17" s="3" t="str">
        <f>TEXT(Table1[[#This Row],[Date]],"mmm-yyyy")</f>
        <v>Apr-2024</v>
      </c>
      <c r="F17" s="1" t="s">
        <v>83</v>
      </c>
      <c r="G17" s="1" t="s">
        <v>84</v>
      </c>
      <c r="H17" s="1" t="str">
        <f>LEFT(Table1[[#This Row],[Customer_Name]],1)&amp;LEFT(MID(Table1[[#This Row],[Customer_Name]],FIND(" ",Table1[[#This Row],[Customer_Name]])+1,50),1)</f>
        <v>GA</v>
      </c>
      <c r="I17" s="1" t="s">
        <v>61</v>
      </c>
      <c r="J17" s="1" t="s">
        <v>62</v>
      </c>
      <c r="K17" s="1" t="s">
        <v>19</v>
      </c>
      <c r="L17" s="12">
        <v>1</v>
      </c>
      <c r="M17" s="16">
        <v>899.99</v>
      </c>
      <c r="N17" s="1" t="s">
        <v>57</v>
      </c>
      <c r="O17" s="1" t="s">
        <v>40</v>
      </c>
      <c r="P17" s="1" t="str">
        <f>UPPER(LEFT(Table1[[#This Row],[Region]],2))</f>
        <v>NO</v>
      </c>
      <c r="Q17" s="1" t="s">
        <v>36</v>
      </c>
      <c r="R17" s="3">
        <v>44920</v>
      </c>
      <c r="S17" s="20">
        <v>899.99</v>
      </c>
      <c r="T17" s="23">
        <f t="shared" ca="1" si="0"/>
        <v>46057</v>
      </c>
      <c r="U17" s="26">
        <f t="shared" ca="1" si="1"/>
        <v>46057.595634259262</v>
      </c>
      <c r="V17" s="25">
        <f ca="1">DATEDIF(Table1[[#This Row],[Date]],TODAY(),"d")</f>
        <v>648</v>
      </c>
      <c r="W17" s="28">
        <f>EOMONTH(Table1[[#This Row],[Date]],0)</f>
        <v>45412</v>
      </c>
      <c r="X17" s="26">
        <f t="shared" ca="1" si="2"/>
        <v>46040.622929282406</v>
      </c>
    </row>
    <row r="18" spans="1:24" ht="15.75" thickBot="1" x14ac:dyDescent="0.3">
      <c r="A18" s="5" t="s">
        <v>85</v>
      </c>
      <c r="B18" s="3">
        <v>45410</v>
      </c>
      <c r="C18" s="12" t="str">
        <f>TEXT(Table1[[#This Row],[Date]],"mmm")</f>
        <v>Apr</v>
      </c>
      <c r="D18" s="12">
        <f>YEAR(Table1[[#This Row],[Date]])</f>
        <v>2024</v>
      </c>
      <c r="E18" s="3" t="str">
        <f>TEXT(Table1[[#This Row],[Date]],"mmm-yyyy")</f>
        <v>Apr-2024</v>
      </c>
      <c r="F18" s="1" t="s">
        <v>86</v>
      </c>
      <c r="G18" s="1" t="s">
        <v>87</v>
      </c>
      <c r="H18" s="1" t="str">
        <f>LEFT(Table1[[#This Row],[Customer_Name]],1)&amp;LEFT(MID(Table1[[#This Row],[Customer_Name]],FIND(" ",Table1[[#This Row],[Customer_Name]])+1,50),1)</f>
        <v>MC</v>
      </c>
      <c r="I18" s="1" t="s">
        <v>44</v>
      </c>
      <c r="J18" s="1" t="s">
        <v>45</v>
      </c>
      <c r="K18" s="1" t="s">
        <v>46</v>
      </c>
      <c r="L18" s="12">
        <v>4</v>
      </c>
      <c r="M18" s="16">
        <v>149.99</v>
      </c>
      <c r="N18" s="1" t="s">
        <v>57</v>
      </c>
      <c r="O18" s="1" t="s">
        <v>40</v>
      </c>
      <c r="P18" s="1" t="str">
        <f>UPPER(LEFT(Table1[[#This Row],[Region]],2))</f>
        <v>NO</v>
      </c>
      <c r="Q18" s="1" t="s">
        <v>27</v>
      </c>
      <c r="R18" s="3">
        <v>45374</v>
      </c>
      <c r="S18" s="20">
        <v>599.96</v>
      </c>
      <c r="T18" s="23">
        <f t="shared" ca="1" si="0"/>
        <v>46057</v>
      </c>
      <c r="U18" s="26">
        <f t="shared" ca="1" si="1"/>
        <v>46057.595634259262</v>
      </c>
      <c r="V18" s="25">
        <f ca="1">DATEDIF(Table1[[#This Row],[Date]],TODAY(),"d")</f>
        <v>647</v>
      </c>
      <c r="W18" s="28">
        <f>EOMONTH(Table1[[#This Row],[Date]],0)</f>
        <v>45412</v>
      </c>
      <c r="X18" s="26">
        <f t="shared" ca="1" si="2"/>
        <v>46040.622929282406</v>
      </c>
    </row>
    <row r="19" spans="1:24" ht="15.75" thickBot="1" x14ac:dyDescent="0.3">
      <c r="A19" s="5" t="s">
        <v>88</v>
      </c>
      <c r="B19" s="3">
        <v>45410</v>
      </c>
      <c r="C19" s="12" t="str">
        <f>TEXT(Table1[[#This Row],[Date]],"mmm")</f>
        <v>Apr</v>
      </c>
      <c r="D19" s="12">
        <f>YEAR(Table1[[#This Row],[Date]])</f>
        <v>2024</v>
      </c>
      <c r="E19" s="3" t="str">
        <f>TEXT(Table1[[#This Row],[Date]],"mmm-yyyy")</f>
        <v>Apr-2024</v>
      </c>
      <c r="F19" s="1" t="s">
        <v>89</v>
      </c>
      <c r="G19" s="1" t="s">
        <v>90</v>
      </c>
      <c r="H19" s="1" t="str">
        <f>LEFT(Table1[[#This Row],[Customer_Name]],1)&amp;LEFT(MID(Table1[[#This Row],[Customer_Name]],FIND(" ",Table1[[#This Row],[Customer_Name]])+1,50),1)</f>
        <v>MG</v>
      </c>
      <c r="I19" s="1" t="s">
        <v>80</v>
      </c>
      <c r="J19" s="1" t="s">
        <v>81</v>
      </c>
      <c r="K19" s="1" t="s">
        <v>19</v>
      </c>
      <c r="L19" s="12">
        <v>2</v>
      </c>
      <c r="M19" s="16">
        <v>699.99</v>
      </c>
      <c r="N19" s="1" t="s">
        <v>20</v>
      </c>
      <c r="O19" s="1" t="s">
        <v>40</v>
      </c>
      <c r="P19" s="1" t="str">
        <f>UPPER(LEFT(Table1[[#This Row],[Region]],2))</f>
        <v>NO</v>
      </c>
      <c r="Q19" s="1" t="s">
        <v>22</v>
      </c>
      <c r="R19" s="3">
        <v>44781</v>
      </c>
      <c r="S19" s="20">
        <v>1399.98</v>
      </c>
      <c r="T19" s="23">
        <f t="shared" ca="1" si="0"/>
        <v>46057</v>
      </c>
      <c r="U19" s="26">
        <f t="shared" ca="1" si="1"/>
        <v>46057.595634259262</v>
      </c>
      <c r="V19" s="25">
        <f ca="1">DATEDIF(Table1[[#This Row],[Date]],TODAY(),"d")</f>
        <v>647</v>
      </c>
      <c r="W19" s="28">
        <f>EOMONTH(Table1[[#This Row],[Date]],0)</f>
        <v>45412</v>
      </c>
      <c r="X19" s="26">
        <f t="shared" ca="1" si="2"/>
        <v>46040.622929282406</v>
      </c>
    </row>
    <row r="20" spans="1:24" ht="15.75" thickBot="1" x14ac:dyDescent="0.3">
      <c r="A20" s="5" t="s">
        <v>91</v>
      </c>
      <c r="B20" s="3">
        <v>45410</v>
      </c>
      <c r="C20" s="12" t="str">
        <f>TEXT(Table1[[#This Row],[Date]],"mmm")</f>
        <v>Apr</v>
      </c>
      <c r="D20" s="12">
        <f>YEAR(Table1[[#This Row],[Date]])</f>
        <v>2024</v>
      </c>
      <c r="E20" s="3" t="str">
        <f>TEXT(Table1[[#This Row],[Date]],"mmm-yyyy")</f>
        <v>Apr-2024</v>
      </c>
      <c r="F20" s="1" t="s">
        <v>86</v>
      </c>
      <c r="G20" s="1" t="s">
        <v>87</v>
      </c>
      <c r="H20" s="1" t="str">
        <f>LEFT(Table1[[#This Row],[Customer_Name]],1)&amp;LEFT(MID(Table1[[#This Row],[Customer_Name]],FIND(" ",Table1[[#This Row],[Customer_Name]])+1,50),1)</f>
        <v>MC</v>
      </c>
      <c r="I20" s="1" t="s">
        <v>61</v>
      </c>
      <c r="J20" s="1" t="s">
        <v>62</v>
      </c>
      <c r="K20" s="1" t="s">
        <v>19</v>
      </c>
      <c r="L20" s="12">
        <v>4</v>
      </c>
      <c r="M20" s="16">
        <v>899.99</v>
      </c>
      <c r="N20" s="1" t="s">
        <v>26</v>
      </c>
      <c r="O20" s="1" t="s">
        <v>50</v>
      </c>
      <c r="P20" s="1" t="str">
        <f>UPPER(LEFT(Table1[[#This Row],[Region]],2))</f>
        <v>WE</v>
      </c>
      <c r="Q20" s="1" t="s">
        <v>36</v>
      </c>
      <c r="R20" s="3">
        <v>45327</v>
      </c>
      <c r="S20" s="20">
        <v>3599.96</v>
      </c>
      <c r="T20" s="23">
        <f t="shared" ca="1" si="0"/>
        <v>46057</v>
      </c>
      <c r="U20" s="26">
        <f t="shared" ca="1" si="1"/>
        <v>46057.595634259262</v>
      </c>
      <c r="V20" s="25">
        <f ca="1">DATEDIF(Table1[[#This Row],[Date]],TODAY(),"d")</f>
        <v>647</v>
      </c>
      <c r="W20" s="28">
        <f>EOMONTH(Table1[[#This Row],[Date]],0)</f>
        <v>45412</v>
      </c>
      <c r="X20" s="26">
        <f t="shared" ca="1" si="2"/>
        <v>46040.622929282406</v>
      </c>
    </row>
    <row r="21" spans="1:24" ht="15.75" thickBot="1" x14ac:dyDescent="0.3">
      <c r="A21" s="5" t="s">
        <v>92</v>
      </c>
      <c r="B21" s="3">
        <v>45410</v>
      </c>
      <c r="C21" s="12" t="str">
        <f>TEXT(Table1[[#This Row],[Date]],"mmm")</f>
        <v>Apr</v>
      </c>
      <c r="D21" s="12">
        <f>YEAR(Table1[[#This Row],[Date]])</f>
        <v>2024</v>
      </c>
      <c r="E21" s="3" t="str">
        <f>TEXT(Table1[[#This Row],[Date]],"mmm-yyyy")</f>
        <v>Apr-2024</v>
      </c>
      <c r="F21" s="1" t="s">
        <v>93</v>
      </c>
      <c r="G21" s="1" t="s">
        <v>94</v>
      </c>
      <c r="H21" s="1" t="str">
        <f>LEFT(Table1[[#This Row],[Customer_Name]],1)&amp;LEFT(MID(Table1[[#This Row],[Customer_Name]],FIND(" ",Table1[[#This Row],[Customer_Name]])+1,50),1)</f>
        <v>VS</v>
      </c>
      <c r="I21" s="1" t="s">
        <v>17</v>
      </c>
      <c r="J21" s="1" t="s">
        <v>18</v>
      </c>
      <c r="K21" s="1" t="s">
        <v>19</v>
      </c>
      <c r="L21" s="12">
        <v>3</v>
      </c>
      <c r="M21" s="16">
        <v>249.99</v>
      </c>
      <c r="N21" s="1" t="s">
        <v>26</v>
      </c>
      <c r="O21" s="1" t="s">
        <v>40</v>
      </c>
      <c r="P21" s="1" t="str">
        <f>UPPER(LEFT(Table1[[#This Row],[Region]],2))</f>
        <v>NO</v>
      </c>
      <c r="Q21" s="1" t="s">
        <v>27</v>
      </c>
      <c r="R21" s="3">
        <v>45224</v>
      </c>
      <c r="S21" s="20">
        <v>749.97</v>
      </c>
      <c r="T21" s="23">
        <f t="shared" ca="1" si="0"/>
        <v>46057</v>
      </c>
      <c r="U21" s="26">
        <f t="shared" ca="1" si="1"/>
        <v>46057.595634259262</v>
      </c>
      <c r="V21" s="25">
        <f ca="1">DATEDIF(Table1[[#This Row],[Date]],TODAY(),"d")</f>
        <v>647</v>
      </c>
      <c r="W21" s="28">
        <f>EOMONTH(Table1[[#This Row],[Date]],0)</f>
        <v>45412</v>
      </c>
      <c r="X21" s="26">
        <f t="shared" ca="1" si="2"/>
        <v>46040.622929282406</v>
      </c>
    </row>
    <row r="22" spans="1:24" ht="15.75" thickBot="1" x14ac:dyDescent="0.3">
      <c r="A22" s="5" t="s">
        <v>95</v>
      </c>
      <c r="B22" s="3">
        <v>45412</v>
      </c>
      <c r="C22" s="12" t="str">
        <f>TEXT(Table1[[#This Row],[Date]],"mmm")</f>
        <v>Apr</v>
      </c>
      <c r="D22" s="12">
        <f>YEAR(Table1[[#This Row],[Date]])</f>
        <v>2024</v>
      </c>
      <c r="E22" s="3" t="str">
        <f>TEXT(Table1[[#This Row],[Date]],"mmm-yyyy")</f>
        <v>Apr-2024</v>
      </c>
      <c r="F22" s="1" t="s">
        <v>96</v>
      </c>
      <c r="G22" s="1" t="s">
        <v>97</v>
      </c>
      <c r="H22" s="1" t="str">
        <f>LEFT(Table1[[#This Row],[Customer_Name]],1)&amp;LEFT(MID(Table1[[#This Row],[Customer_Name]],FIND(" ",Table1[[#This Row],[Customer_Name]])+1,50),1)</f>
        <v>BY</v>
      </c>
      <c r="I22" s="1" t="s">
        <v>80</v>
      </c>
      <c r="J22" s="1" t="s">
        <v>81</v>
      </c>
      <c r="K22" s="1" t="s">
        <v>19</v>
      </c>
      <c r="L22" s="12">
        <v>5</v>
      </c>
      <c r="M22" s="16">
        <v>699.99</v>
      </c>
      <c r="N22" s="1" t="s">
        <v>20</v>
      </c>
      <c r="O22" s="1" t="s">
        <v>50</v>
      </c>
      <c r="P22" s="1" t="str">
        <f>UPPER(LEFT(Table1[[#This Row],[Region]],2))</f>
        <v>WE</v>
      </c>
      <c r="Q22" s="1" t="s">
        <v>22</v>
      </c>
      <c r="R22" s="3">
        <v>45167</v>
      </c>
      <c r="S22" s="20">
        <v>3499.95</v>
      </c>
      <c r="T22" s="23">
        <f t="shared" ca="1" si="0"/>
        <v>46057</v>
      </c>
      <c r="U22" s="26">
        <f t="shared" ca="1" si="1"/>
        <v>46057.595634259262</v>
      </c>
      <c r="V22" s="25">
        <f ca="1">DATEDIF(Table1[[#This Row],[Date]],TODAY(),"d")</f>
        <v>645</v>
      </c>
      <c r="W22" s="28">
        <f>EOMONTH(Table1[[#This Row],[Date]],0)</f>
        <v>45412</v>
      </c>
      <c r="X22" s="26">
        <f t="shared" ca="1" si="2"/>
        <v>46040.622929282406</v>
      </c>
    </row>
    <row r="23" spans="1:24" ht="15.75" thickBot="1" x14ac:dyDescent="0.3">
      <c r="A23" s="5" t="s">
        <v>98</v>
      </c>
      <c r="B23" s="3">
        <v>45413</v>
      </c>
      <c r="C23" s="12" t="str">
        <f>TEXT(Table1[[#This Row],[Date]],"mmm")</f>
        <v>May</v>
      </c>
      <c r="D23" s="12">
        <f>YEAR(Table1[[#This Row],[Date]])</f>
        <v>2024</v>
      </c>
      <c r="E23" s="3" t="str">
        <f>TEXT(Table1[[#This Row],[Date]],"mmm-yyyy")</f>
        <v>May-2024</v>
      </c>
      <c r="F23" s="1" t="s">
        <v>99</v>
      </c>
      <c r="G23" s="1" t="s">
        <v>100</v>
      </c>
      <c r="H23" s="1" t="str">
        <f>LEFT(Table1[[#This Row],[Customer_Name]],1)&amp;LEFT(MID(Table1[[#This Row],[Customer_Name]],FIND(" ",Table1[[#This Row],[Customer_Name]])+1,50),1)</f>
        <v>PM</v>
      </c>
      <c r="I23" s="1" t="s">
        <v>80</v>
      </c>
      <c r="J23" s="1" t="s">
        <v>81</v>
      </c>
      <c r="K23" s="1" t="s">
        <v>19</v>
      </c>
      <c r="L23" s="12">
        <v>4</v>
      </c>
      <c r="M23" s="16">
        <v>699.99</v>
      </c>
      <c r="N23" s="1" t="s">
        <v>20</v>
      </c>
      <c r="O23" s="1" t="s">
        <v>63</v>
      </c>
      <c r="P23" s="1" t="str">
        <f>UPPER(LEFT(Table1[[#This Row],[Region]],2))</f>
        <v>EA</v>
      </c>
      <c r="Q23" s="1" t="s">
        <v>36</v>
      </c>
      <c r="R23" s="3">
        <v>44409</v>
      </c>
      <c r="S23" s="20">
        <v>2799.96</v>
      </c>
      <c r="T23" s="23">
        <f t="shared" ca="1" si="0"/>
        <v>46057</v>
      </c>
      <c r="U23" s="26">
        <f t="shared" ca="1" si="1"/>
        <v>46057.595634259262</v>
      </c>
      <c r="V23" s="25">
        <f ca="1">DATEDIF(Table1[[#This Row],[Date]],TODAY(),"d")</f>
        <v>644</v>
      </c>
      <c r="W23" s="28">
        <f>EOMONTH(Table1[[#This Row],[Date]],0)</f>
        <v>45443</v>
      </c>
      <c r="X23" s="26">
        <f t="shared" ca="1" si="2"/>
        <v>46040.622929282406</v>
      </c>
    </row>
    <row r="24" spans="1:24" ht="15.75" thickBot="1" x14ac:dyDescent="0.3">
      <c r="A24" s="5" t="s">
        <v>101</v>
      </c>
      <c r="B24" s="3">
        <v>45415</v>
      </c>
      <c r="C24" s="12" t="str">
        <f>TEXT(Table1[[#This Row],[Date]],"mmm")</f>
        <v>May</v>
      </c>
      <c r="D24" s="12">
        <f>YEAR(Table1[[#This Row],[Date]])</f>
        <v>2024</v>
      </c>
      <c r="E24" s="3" t="str">
        <f>TEXT(Table1[[#This Row],[Date]],"mmm-yyyy")</f>
        <v>May-2024</v>
      </c>
      <c r="F24" s="1" t="s">
        <v>102</v>
      </c>
      <c r="G24" s="1" t="s">
        <v>103</v>
      </c>
      <c r="H24" s="1" t="str">
        <f>LEFT(Table1[[#This Row],[Customer_Name]],1)&amp;LEFT(MID(Table1[[#This Row],[Customer_Name]],FIND(" ",Table1[[#This Row],[Customer_Name]])+1,50),1)</f>
        <v>CP</v>
      </c>
      <c r="I24" s="1" t="s">
        <v>17</v>
      </c>
      <c r="J24" s="1" t="s">
        <v>18</v>
      </c>
      <c r="K24" s="1" t="s">
        <v>19</v>
      </c>
      <c r="L24" s="12">
        <v>4</v>
      </c>
      <c r="M24" s="16">
        <v>249.99</v>
      </c>
      <c r="N24" s="1" t="s">
        <v>34</v>
      </c>
      <c r="O24" s="1" t="s">
        <v>40</v>
      </c>
      <c r="P24" s="1" t="str">
        <f>UPPER(LEFT(Table1[[#This Row],[Region]],2))</f>
        <v>NO</v>
      </c>
      <c r="Q24" s="1" t="s">
        <v>36</v>
      </c>
      <c r="R24" s="3">
        <v>44468</v>
      </c>
      <c r="S24" s="20">
        <v>999.96</v>
      </c>
      <c r="T24" s="23">
        <f t="shared" ca="1" si="0"/>
        <v>46057</v>
      </c>
      <c r="U24" s="26">
        <f t="shared" ca="1" si="1"/>
        <v>46057.595634259262</v>
      </c>
      <c r="V24" s="25">
        <f ca="1">DATEDIF(Table1[[#This Row],[Date]],TODAY(),"d")</f>
        <v>642</v>
      </c>
      <c r="W24" s="28">
        <f>EOMONTH(Table1[[#This Row],[Date]],0)</f>
        <v>45443</v>
      </c>
      <c r="X24" s="26">
        <f t="shared" ca="1" si="2"/>
        <v>46040.622929282406</v>
      </c>
    </row>
    <row r="25" spans="1:24" ht="15.75" thickBot="1" x14ac:dyDescent="0.3">
      <c r="A25" s="5" t="s">
        <v>104</v>
      </c>
      <c r="B25" s="3">
        <v>45416</v>
      </c>
      <c r="C25" s="12" t="str">
        <f>TEXT(Table1[[#This Row],[Date]],"mmm")</f>
        <v>May</v>
      </c>
      <c r="D25" s="12">
        <f>YEAR(Table1[[#This Row],[Date]])</f>
        <v>2024</v>
      </c>
      <c r="E25" s="3" t="str">
        <f>TEXT(Table1[[#This Row],[Date]],"mmm-yyyy")</f>
        <v>May-2024</v>
      </c>
      <c r="F25" s="1" t="s">
        <v>86</v>
      </c>
      <c r="G25" s="1" t="s">
        <v>87</v>
      </c>
      <c r="H25" s="1" t="str">
        <f>LEFT(Table1[[#This Row],[Customer_Name]],1)&amp;LEFT(MID(Table1[[#This Row],[Customer_Name]],FIND(" ",Table1[[#This Row],[Customer_Name]])+1,50),1)</f>
        <v>MC</v>
      </c>
      <c r="I25" s="1" t="s">
        <v>105</v>
      </c>
      <c r="J25" s="1" t="s">
        <v>106</v>
      </c>
      <c r="K25" s="1" t="s">
        <v>46</v>
      </c>
      <c r="L25" s="12">
        <v>4</v>
      </c>
      <c r="M25" s="16">
        <v>299.99</v>
      </c>
      <c r="N25" s="1" t="s">
        <v>20</v>
      </c>
      <c r="O25" s="1" t="s">
        <v>50</v>
      </c>
      <c r="P25" s="1" t="str">
        <f>UPPER(LEFT(Table1[[#This Row],[Region]],2))</f>
        <v>WE</v>
      </c>
      <c r="Q25" s="1" t="s">
        <v>27</v>
      </c>
      <c r="R25" s="3">
        <v>44716</v>
      </c>
      <c r="S25" s="20">
        <v>1199.96</v>
      </c>
      <c r="T25" s="23">
        <f t="shared" ca="1" si="0"/>
        <v>46057</v>
      </c>
      <c r="U25" s="26">
        <f t="shared" ca="1" si="1"/>
        <v>46057.595634259262</v>
      </c>
      <c r="V25" s="25">
        <f ca="1">DATEDIF(Table1[[#This Row],[Date]],TODAY(),"d")</f>
        <v>641</v>
      </c>
      <c r="W25" s="28">
        <f>EOMONTH(Table1[[#This Row],[Date]],0)</f>
        <v>45443</v>
      </c>
      <c r="X25" s="26">
        <f t="shared" ca="1" si="2"/>
        <v>46040.622929282406</v>
      </c>
    </row>
    <row r="26" spans="1:24" ht="15.75" thickBot="1" x14ac:dyDescent="0.3">
      <c r="A26" s="5" t="s">
        <v>107</v>
      </c>
      <c r="B26" s="3">
        <v>45422</v>
      </c>
      <c r="C26" s="12" t="str">
        <f>TEXT(Table1[[#This Row],[Date]],"mmm")</f>
        <v>May</v>
      </c>
      <c r="D26" s="12">
        <f>YEAR(Table1[[#This Row],[Date]])</f>
        <v>2024</v>
      </c>
      <c r="E26" s="3" t="str">
        <f>TEXT(Table1[[#This Row],[Date]],"mmm-yyyy")</f>
        <v>May-2024</v>
      </c>
      <c r="F26" s="1" t="s">
        <v>108</v>
      </c>
      <c r="G26" s="1" t="s">
        <v>109</v>
      </c>
      <c r="H26" s="1" t="str">
        <f>LEFT(Table1[[#This Row],[Customer_Name]],1)&amp;LEFT(MID(Table1[[#This Row],[Customer_Name]],FIND(" ",Table1[[#This Row],[Customer_Name]])+1,50),1)</f>
        <v>NC</v>
      </c>
      <c r="I26" s="1" t="s">
        <v>17</v>
      </c>
      <c r="J26" s="1" t="s">
        <v>18</v>
      </c>
      <c r="K26" s="1" t="s">
        <v>19</v>
      </c>
      <c r="L26" s="12">
        <v>5</v>
      </c>
      <c r="M26" s="16">
        <v>249.99</v>
      </c>
      <c r="N26" s="1" t="s">
        <v>26</v>
      </c>
      <c r="O26" s="1" t="s">
        <v>50</v>
      </c>
      <c r="P26" s="1" t="str">
        <f>UPPER(LEFT(Table1[[#This Row],[Region]],2))</f>
        <v>WE</v>
      </c>
      <c r="Q26" s="1" t="s">
        <v>36</v>
      </c>
      <c r="R26" s="3">
        <v>44525</v>
      </c>
      <c r="S26" s="20">
        <v>1249.95</v>
      </c>
      <c r="T26" s="23">
        <f t="shared" ca="1" si="0"/>
        <v>46057</v>
      </c>
      <c r="U26" s="26">
        <f t="shared" ca="1" si="1"/>
        <v>46057.595634259262</v>
      </c>
      <c r="V26" s="25">
        <f ca="1">DATEDIF(Table1[[#This Row],[Date]],TODAY(),"d")</f>
        <v>635</v>
      </c>
      <c r="W26" s="28">
        <f>EOMONTH(Table1[[#This Row],[Date]],0)</f>
        <v>45443</v>
      </c>
      <c r="X26" s="26">
        <f t="shared" ca="1" si="2"/>
        <v>46040.622929282406</v>
      </c>
    </row>
    <row r="27" spans="1:24" ht="15.75" thickBot="1" x14ac:dyDescent="0.3">
      <c r="A27" s="5" t="s">
        <v>110</v>
      </c>
      <c r="B27" s="3">
        <v>45424</v>
      </c>
      <c r="C27" s="12" t="str">
        <f>TEXT(Table1[[#This Row],[Date]],"mmm")</f>
        <v>May</v>
      </c>
      <c r="D27" s="12">
        <f>YEAR(Table1[[#This Row],[Date]])</f>
        <v>2024</v>
      </c>
      <c r="E27" s="3" t="str">
        <f>TEXT(Table1[[#This Row],[Date]],"mmm-yyyy")</f>
        <v>May-2024</v>
      </c>
      <c r="F27" s="1" t="s">
        <v>68</v>
      </c>
      <c r="G27" s="1" t="s">
        <v>69</v>
      </c>
      <c r="H27" s="1" t="str">
        <f>LEFT(Table1[[#This Row],[Customer_Name]],1)&amp;LEFT(MID(Table1[[#This Row],[Customer_Name]],FIND(" ",Table1[[#This Row],[Customer_Name]])+1,50),1)</f>
        <v>SG</v>
      </c>
      <c r="I27" s="1" t="s">
        <v>105</v>
      </c>
      <c r="J27" s="1" t="s">
        <v>106</v>
      </c>
      <c r="K27" s="1" t="s">
        <v>46</v>
      </c>
      <c r="L27" s="12">
        <v>5</v>
      </c>
      <c r="M27" s="16">
        <v>299.99</v>
      </c>
      <c r="N27" s="1" t="s">
        <v>34</v>
      </c>
      <c r="O27" s="1" t="s">
        <v>63</v>
      </c>
      <c r="P27" s="1" t="str">
        <f>UPPER(LEFT(Table1[[#This Row],[Region]],2))</f>
        <v>EA</v>
      </c>
      <c r="Q27" s="1" t="s">
        <v>22</v>
      </c>
      <c r="R27" s="3">
        <v>45168</v>
      </c>
      <c r="S27" s="20">
        <v>1499.95</v>
      </c>
      <c r="T27" s="23">
        <f t="shared" ca="1" si="0"/>
        <v>46057</v>
      </c>
      <c r="U27" s="26">
        <f t="shared" ca="1" si="1"/>
        <v>46057.595634259262</v>
      </c>
      <c r="V27" s="25">
        <f ca="1">DATEDIF(Table1[[#This Row],[Date]],TODAY(),"d")</f>
        <v>633</v>
      </c>
      <c r="W27" s="28">
        <f>EOMONTH(Table1[[#This Row],[Date]],0)</f>
        <v>45443</v>
      </c>
      <c r="X27" s="26">
        <f t="shared" ca="1" si="2"/>
        <v>46040.622929282406</v>
      </c>
    </row>
    <row r="28" spans="1:24" ht="15.75" thickBot="1" x14ac:dyDescent="0.3">
      <c r="A28" s="5" t="s">
        <v>111</v>
      </c>
      <c r="B28" s="3">
        <v>45424</v>
      </c>
      <c r="C28" s="12" t="str">
        <f>TEXT(Table1[[#This Row],[Date]],"mmm")</f>
        <v>May</v>
      </c>
      <c r="D28" s="12">
        <f>YEAR(Table1[[#This Row],[Date]])</f>
        <v>2024</v>
      </c>
      <c r="E28" s="3" t="str">
        <f>TEXT(Table1[[#This Row],[Date]],"mmm-yyyy")</f>
        <v>May-2024</v>
      </c>
      <c r="F28" s="1" t="s">
        <v>112</v>
      </c>
      <c r="G28" s="1" t="s">
        <v>113</v>
      </c>
      <c r="H28" s="1" t="str">
        <f>LEFT(Table1[[#This Row],[Customer_Name]],1)&amp;LEFT(MID(Table1[[#This Row],[Customer_Name]],FIND(" ",Table1[[#This Row],[Customer_Name]])+1,50),1)</f>
        <v>LM</v>
      </c>
      <c r="I28" s="1" t="s">
        <v>114</v>
      </c>
      <c r="J28" s="1" t="s">
        <v>115</v>
      </c>
      <c r="K28" s="1" t="s">
        <v>33</v>
      </c>
      <c r="L28" s="12">
        <v>3</v>
      </c>
      <c r="M28" s="16">
        <v>79.989999999999995</v>
      </c>
      <c r="N28" s="1" t="s">
        <v>34</v>
      </c>
      <c r="O28" s="1" t="s">
        <v>63</v>
      </c>
      <c r="P28" s="1" t="str">
        <f>UPPER(LEFT(Table1[[#This Row],[Region]],2))</f>
        <v>EA</v>
      </c>
      <c r="Q28" s="1" t="s">
        <v>27</v>
      </c>
      <c r="R28" s="3">
        <v>45012</v>
      </c>
      <c r="S28" s="20">
        <v>239.97</v>
      </c>
      <c r="T28" s="23">
        <f t="shared" ca="1" si="0"/>
        <v>46057</v>
      </c>
      <c r="U28" s="26">
        <f t="shared" ca="1" si="1"/>
        <v>46057.595634259262</v>
      </c>
      <c r="V28" s="25">
        <f ca="1">DATEDIF(Table1[[#This Row],[Date]],TODAY(),"d")</f>
        <v>633</v>
      </c>
      <c r="W28" s="28">
        <f>EOMONTH(Table1[[#This Row],[Date]],0)</f>
        <v>45443</v>
      </c>
      <c r="X28" s="26">
        <f t="shared" ca="1" si="2"/>
        <v>46040.622929282406</v>
      </c>
    </row>
    <row r="29" spans="1:24" ht="15.75" thickBot="1" x14ac:dyDescent="0.3">
      <c r="A29" s="5" t="s">
        <v>116</v>
      </c>
      <c r="B29" s="3">
        <v>45424</v>
      </c>
      <c r="C29" s="12" t="str">
        <f>TEXT(Table1[[#This Row],[Date]],"mmm")</f>
        <v>May</v>
      </c>
      <c r="D29" s="12">
        <f>YEAR(Table1[[#This Row],[Date]])</f>
        <v>2024</v>
      </c>
      <c r="E29" s="3" t="str">
        <f>TEXT(Table1[[#This Row],[Date]],"mmm-yyyy")</f>
        <v>May-2024</v>
      </c>
      <c r="F29" s="1" t="s">
        <v>99</v>
      </c>
      <c r="G29" s="1" t="s">
        <v>100</v>
      </c>
      <c r="H29" s="1" t="str">
        <f>LEFT(Table1[[#This Row],[Customer_Name]],1)&amp;LEFT(MID(Table1[[#This Row],[Customer_Name]],FIND(" ",Table1[[#This Row],[Customer_Name]])+1,50),1)</f>
        <v>PM</v>
      </c>
      <c r="I29" s="1" t="s">
        <v>117</v>
      </c>
      <c r="J29" s="1" t="s">
        <v>118</v>
      </c>
      <c r="K29" s="1" t="s">
        <v>19</v>
      </c>
      <c r="L29" s="12">
        <v>5</v>
      </c>
      <c r="M29" s="16">
        <v>89.99</v>
      </c>
      <c r="N29" s="1" t="s">
        <v>20</v>
      </c>
      <c r="O29" s="1" t="s">
        <v>40</v>
      </c>
      <c r="P29" s="1" t="str">
        <f>UPPER(LEFT(Table1[[#This Row],[Region]],2))</f>
        <v>NO</v>
      </c>
      <c r="Q29" s="1" t="s">
        <v>27</v>
      </c>
      <c r="R29" s="3">
        <v>44919</v>
      </c>
      <c r="S29" s="20">
        <v>449.95</v>
      </c>
      <c r="T29" s="23">
        <f t="shared" ca="1" si="0"/>
        <v>46057</v>
      </c>
      <c r="U29" s="26">
        <f t="shared" ca="1" si="1"/>
        <v>46057.595634259262</v>
      </c>
      <c r="V29" s="25">
        <f ca="1">DATEDIF(Table1[[#This Row],[Date]],TODAY(),"d")</f>
        <v>633</v>
      </c>
      <c r="W29" s="28">
        <f>EOMONTH(Table1[[#This Row],[Date]],0)</f>
        <v>45443</v>
      </c>
      <c r="X29" s="26">
        <f t="shared" ca="1" si="2"/>
        <v>46040.622929282406</v>
      </c>
    </row>
    <row r="30" spans="1:24" ht="15.75" thickBot="1" x14ac:dyDescent="0.3">
      <c r="A30" s="5" t="s">
        <v>119</v>
      </c>
      <c r="B30" s="3">
        <v>45425</v>
      </c>
      <c r="C30" s="12" t="str">
        <f>TEXT(Table1[[#This Row],[Date]],"mmm")</f>
        <v>May</v>
      </c>
      <c r="D30" s="12">
        <f>YEAR(Table1[[#This Row],[Date]])</f>
        <v>2024</v>
      </c>
      <c r="E30" s="3" t="str">
        <f>TEXT(Table1[[#This Row],[Date]],"mmm-yyyy")</f>
        <v>May-2024</v>
      </c>
      <c r="F30" s="1" t="s">
        <v>120</v>
      </c>
      <c r="G30" s="1" t="s">
        <v>121</v>
      </c>
      <c r="H30" s="1" t="str">
        <f>LEFT(Table1[[#This Row],[Customer_Name]],1)&amp;LEFT(MID(Table1[[#This Row],[Customer_Name]],FIND(" ",Table1[[#This Row],[Customer_Name]])+1,50),1)</f>
        <v>HR</v>
      </c>
      <c r="I30" s="1" t="s">
        <v>31</v>
      </c>
      <c r="J30" s="1" t="s">
        <v>32</v>
      </c>
      <c r="K30" s="1" t="s">
        <v>33</v>
      </c>
      <c r="L30" s="12">
        <v>2</v>
      </c>
      <c r="M30" s="16">
        <v>59.99</v>
      </c>
      <c r="N30" s="1" t="s">
        <v>57</v>
      </c>
      <c r="O30" s="1" t="s">
        <v>21</v>
      </c>
      <c r="P30" s="1" t="str">
        <f>UPPER(LEFT(Table1[[#This Row],[Region]],2))</f>
        <v>CE</v>
      </c>
      <c r="Q30" s="1" t="s">
        <v>36</v>
      </c>
      <c r="R30" s="3">
        <v>45214</v>
      </c>
      <c r="S30" s="20">
        <v>119.98</v>
      </c>
      <c r="T30" s="23">
        <f t="shared" ca="1" si="0"/>
        <v>46057</v>
      </c>
      <c r="U30" s="26">
        <f t="shared" ca="1" si="1"/>
        <v>46057.595634259262</v>
      </c>
      <c r="V30" s="25">
        <f ca="1">DATEDIF(Table1[[#This Row],[Date]],TODAY(),"d")</f>
        <v>632</v>
      </c>
      <c r="W30" s="28">
        <f>EOMONTH(Table1[[#This Row],[Date]],0)</f>
        <v>45443</v>
      </c>
      <c r="X30" s="26">
        <f t="shared" ca="1" si="2"/>
        <v>46040.622929282406</v>
      </c>
    </row>
    <row r="31" spans="1:24" ht="15.75" thickBot="1" x14ac:dyDescent="0.3">
      <c r="A31" s="5" t="s">
        <v>122</v>
      </c>
      <c r="B31" s="3">
        <v>45427</v>
      </c>
      <c r="C31" s="12" t="str">
        <f>TEXT(Table1[[#This Row],[Date]],"mmm")</f>
        <v>May</v>
      </c>
      <c r="D31" s="12">
        <f>YEAR(Table1[[#This Row],[Date]])</f>
        <v>2024</v>
      </c>
      <c r="E31" s="3" t="str">
        <f>TEXT(Table1[[#This Row],[Date]],"mmm-yyyy")</f>
        <v>May-2024</v>
      </c>
      <c r="F31" s="1" t="s">
        <v>123</v>
      </c>
      <c r="G31" s="1" t="s">
        <v>124</v>
      </c>
      <c r="H31" s="1" t="str">
        <f>LEFT(Table1[[#This Row],[Customer_Name]],1)&amp;LEFT(MID(Table1[[#This Row],[Customer_Name]],FIND(" ",Table1[[#This Row],[Customer_Name]])+1,50),1)</f>
        <v>EM</v>
      </c>
      <c r="I31" s="1" t="s">
        <v>31</v>
      </c>
      <c r="J31" s="1" t="s">
        <v>32</v>
      </c>
      <c r="K31" s="1" t="s">
        <v>33</v>
      </c>
      <c r="L31" s="12">
        <v>4</v>
      </c>
      <c r="M31" s="16">
        <v>59.99</v>
      </c>
      <c r="N31" s="1" t="s">
        <v>57</v>
      </c>
      <c r="O31" s="1" t="s">
        <v>63</v>
      </c>
      <c r="P31" s="1" t="str">
        <f>UPPER(LEFT(Table1[[#This Row],[Region]],2))</f>
        <v>EA</v>
      </c>
      <c r="Q31" s="1" t="s">
        <v>36</v>
      </c>
      <c r="R31" s="3">
        <v>44867</v>
      </c>
      <c r="S31" s="20">
        <v>239.96</v>
      </c>
      <c r="T31" s="23">
        <f t="shared" ca="1" si="0"/>
        <v>46057</v>
      </c>
      <c r="U31" s="26">
        <f t="shared" ca="1" si="1"/>
        <v>46057.595634259262</v>
      </c>
      <c r="V31" s="25">
        <f ca="1">DATEDIF(Table1[[#This Row],[Date]],TODAY(),"d")</f>
        <v>630</v>
      </c>
      <c r="W31" s="28">
        <f>EOMONTH(Table1[[#This Row],[Date]],0)</f>
        <v>45443</v>
      </c>
      <c r="X31" s="26">
        <f t="shared" ca="1" si="2"/>
        <v>46040.622929282406</v>
      </c>
    </row>
    <row r="32" spans="1:24" ht="15.75" thickBot="1" x14ac:dyDescent="0.3">
      <c r="A32" s="5" t="s">
        <v>125</v>
      </c>
      <c r="B32" s="3">
        <v>45427</v>
      </c>
      <c r="C32" s="12" t="str">
        <f>TEXT(Table1[[#This Row],[Date]],"mmm")</f>
        <v>May</v>
      </c>
      <c r="D32" s="12">
        <f>YEAR(Table1[[#This Row],[Date]])</f>
        <v>2024</v>
      </c>
      <c r="E32" s="3" t="str">
        <f>TEXT(Table1[[#This Row],[Date]],"mmm-yyyy")</f>
        <v>May-2024</v>
      </c>
      <c r="F32" s="1" t="s">
        <v>55</v>
      </c>
      <c r="G32" s="1" t="s">
        <v>56</v>
      </c>
      <c r="H32" s="1" t="str">
        <f>LEFT(Table1[[#This Row],[Customer_Name]],1)&amp;LEFT(MID(Table1[[#This Row],[Customer_Name]],FIND(" ",Table1[[#This Row],[Customer_Name]])+1,50),1)</f>
        <v>CA</v>
      </c>
      <c r="I32" s="1" t="s">
        <v>126</v>
      </c>
      <c r="J32" s="1" t="s">
        <v>127</v>
      </c>
      <c r="K32" s="1" t="s">
        <v>46</v>
      </c>
      <c r="L32" s="12">
        <v>5</v>
      </c>
      <c r="M32" s="16">
        <v>199.99</v>
      </c>
      <c r="N32" s="1" t="s">
        <v>20</v>
      </c>
      <c r="O32" s="1" t="s">
        <v>35</v>
      </c>
      <c r="P32" s="1" t="str">
        <f>UPPER(LEFT(Table1[[#This Row],[Region]],2))</f>
        <v>SO</v>
      </c>
      <c r="Q32" s="1" t="s">
        <v>36</v>
      </c>
      <c r="R32" s="3">
        <v>44412</v>
      </c>
      <c r="S32" s="20">
        <v>999.95</v>
      </c>
      <c r="T32" s="23">
        <f t="shared" ca="1" si="0"/>
        <v>46057</v>
      </c>
      <c r="U32" s="26">
        <f t="shared" ca="1" si="1"/>
        <v>46057.595634259262</v>
      </c>
      <c r="V32" s="25">
        <f ca="1">DATEDIF(Table1[[#This Row],[Date]],TODAY(),"d")</f>
        <v>630</v>
      </c>
      <c r="W32" s="28">
        <f>EOMONTH(Table1[[#This Row],[Date]],0)</f>
        <v>45443</v>
      </c>
      <c r="X32" s="26">
        <f t="shared" ca="1" si="2"/>
        <v>46040.622929282406</v>
      </c>
    </row>
    <row r="33" spans="1:24" ht="15.75" thickBot="1" x14ac:dyDescent="0.3">
      <c r="A33" s="5" t="s">
        <v>128</v>
      </c>
      <c r="B33" s="3">
        <v>45428</v>
      </c>
      <c r="C33" s="12" t="str">
        <f>TEXT(Table1[[#This Row],[Date]],"mmm")</f>
        <v>May</v>
      </c>
      <c r="D33" s="12">
        <f>YEAR(Table1[[#This Row],[Date]])</f>
        <v>2024</v>
      </c>
      <c r="E33" s="3" t="str">
        <f>TEXT(Table1[[#This Row],[Date]],"mmm-yyyy")</f>
        <v>May-2024</v>
      </c>
      <c r="F33" s="1" t="s">
        <v>129</v>
      </c>
      <c r="G33" s="1" t="s">
        <v>130</v>
      </c>
      <c r="H33" s="1" t="str">
        <f>LEFT(Table1[[#This Row],[Customer_Name]],1)&amp;LEFT(MID(Table1[[#This Row],[Customer_Name]],FIND(" ",Table1[[#This Row],[Customer_Name]])+1,50),1)</f>
        <v>LA</v>
      </c>
      <c r="I33" s="1" t="s">
        <v>44</v>
      </c>
      <c r="J33" s="1" t="s">
        <v>45</v>
      </c>
      <c r="K33" s="1" t="s">
        <v>46</v>
      </c>
      <c r="L33" s="12">
        <v>2</v>
      </c>
      <c r="M33" s="16">
        <v>149.99</v>
      </c>
      <c r="N33" s="1" t="s">
        <v>26</v>
      </c>
      <c r="O33" s="1" t="s">
        <v>50</v>
      </c>
      <c r="P33" s="1" t="str">
        <f>UPPER(LEFT(Table1[[#This Row],[Region]],2))</f>
        <v>WE</v>
      </c>
      <c r="Q33" s="1" t="s">
        <v>22</v>
      </c>
      <c r="R33" s="3">
        <v>44823</v>
      </c>
      <c r="S33" s="20">
        <v>299.98</v>
      </c>
      <c r="T33" s="23">
        <f t="shared" ca="1" si="0"/>
        <v>46057</v>
      </c>
      <c r="U33" s="26">
        <f t="shared" ca="1" si="1"/>
        <v>46057.595634259262</v>
      </c>
      <c r="V33" s="25">
        <f ca="1">DATEDIF(Table1[[#This Row],[Date]],TODAY(),"d")</f>
        <v>629</v>
      </c>
      <c r="W33" s="28">
        <f>EOMONTH(Table1[[#This Row],[Date]],0)</f>
        <v>45443</v>
      </c>
      <c r="X33" s="26">
        <f t="shared" ca="1" si="2"/>
        <v>46040.622929282406</v>
      </c>
    </row>
    <row r="34" spans="1:24" ht="15.75" thickBot="1" x14ac:dyDescent="0.3">
      <c r="A34" s="5" t="s">
        <v>131</v>
      </c>
      <c r="B34" s="3">
        <v>45430</v>
      </c>
      <c r="C34" s="12" t="str">
        <f>TEXT(Table1[[#This Row],[Date]],"mmm")</f>
        <v>May</v>
      </c>
      <c r="D34" s="12">
        <f>YEAR(Table1[[#This Row],[Date]])</f>
        <v>2024</v>
      </c>
      <c r="E34" s="3" t="str">
        <f>TEXT(Table1[[#This Row],[Date]],"mmm-yyyy")</f>
        <v>May-2024</v>
      </c>
      <c r="F34" s="1" t="s">
        <v>132</v>
      </c>
      <c r="G34" s="1" t="s">
        <v>133</v>
      </c>
      <c r="H34" s="1" t="str">
        <f>LEFT(Table1[[#This Row],[Customer_Name]],1)&amp;LEFT(MID(Table1[[#This Row],[Customer_Name]],FIND(" ",Table1[[#This Row],[Customer_Name]])+1,50),1)</f>
        <v>EW</v>
      </c>
      <c r="I34" s="1" t="s">
        <v>44</v>
      </c>
      <c r="J34" s="1" t="s">
        <v>45</v>
      </c>
      <c r="K34" s="1" t="s">
        <v>46</v>
      </c>
      <c r="L34" s="12">
        <v>3</v>
      </c>
      <c r="M34" s="16">
        <v>149.99</v>
      </c>
      <c r="N34" s="1" t="s">
        <v>26</v>
      </c>
      <c r="O34" s="1" t="s">
        <v>50</v>
      </c>
      <c r="P34" s="1" t="str">
        <f>UPPER(LEFT(Table1[[#This Row],[Region]],2))</f>
        <v>WE</v>
      </c>
      <c r="Q34" s="1" t="s">
        <v>27</v>
      </c>
      <c r="R34" s="3">
        <v>45068</v>
      </c>
      <c r="S34" s="20">
        <v>449.97</v>
      </c>
      <c r="T34" s="23">
        <f t="shared" ca="1" si="0"/>
        <v>46057</v>
      </c>
      <c r="U34" s="26">
        <f t="shared" ca="1" si="1"/>
        <v>46057.595634259262</v>
      </c>
      <c r="V34" s="25">
        <f ca="1">DATEDIF(Table1[[#This Row],[Date]],TODAY(),"d")</f>
        <v>627</v>
      </c>
      <c r="W34" s="28">
        <f>EOMONTH(Table1[[#This Row],[Date]],0)</f>
        <v>45443</v>
      </c>
      <c r="X34" s="26">
        <f t="shared" ca="1" si="2"/>
        <v>46040.622929282406</v>
      </c>
    </row>
    <row r="35" spans="1:24" ht="15.75" thickBot="1" x14ac:dyDescent="0.3">
      <c r="A35" s="5" t="s">
        <v>134</v>
      </c>
      <c r="B35" s="3">
        <v>45432</v>
      </c>
      <c r="C35" s="12" t="str">
        <f>TEXT(Table1[[#This Row],[Date]],"mmm")</f>
        <v>May</v>
      </c>
      <c r="D35" s="12">
        <f>YEAR(Table1[[#This Row],[Date]])</f>
        <v>2024</v>
      </c>
      <c r="E35" s="3" t="str">
        <f>TEXT(Table1[[#This Row],[Date]],"mmm-yyyy")</f>
        <v>May-2024</v>
      </c>
      <c r="F35" s="1" t="s">
        <v>29</v>
      </c>
      <c r="G35" s="1" t="s">
        <v>30</v>
      </c>
      <c r="H35" s="1" t="str">
        <f>LEFT(Table1[[#This Row],[Customer_Name]],1)&amp;LEFT(MID(Table1[[#This Row],[Customer_Name]],FIND(" ",Table1[[#This Row],[Customer_Name]])+1,50),1)</f>
        <v>KS</v>
      </c>
      <c r="I35" s="1" t="s">
        <v>61</v>
      </c>
      <c r="J35" s="1" t="s">
        <v>62</v>
      </c>
      <c r="K35" s="1" t="s">
        <v>19</v>
      </c>
      <c r="L35" s="12">
        <v>1</v>
      </c>
      <c r="M35" s="16">
        <v>899.99</v>
      </c>
      <c r="N35" s="1" t="s">
        <v>26</v>
      </c>
      <c r="O35" s="1" t="s">
        <v>50</v>
      </c>
      <c r="P35" s="1" t="str">
        <f>UPPER(LEFT(Table1[[#This Row],[Region]],2))</f>
        <v>WE</v>
      </c>
      <c r="Q35" s="1" t="s">
        <v>27</v>
      </c>
      <c r="R35" s="3">
        <v>44578</v>
      </c>
      <c r="S35" s="20">
        <v>899.99</v>
      </c>
      <c r="T35" s="23">
        <f t="shared" ca="1" si="0"/>
        <v>46057</v>
      </c>
      <c r="U35" s="26">
        <f t="shared" ca="1" si="1"/>
        <v>46057.595634259262</v>
      </c>
      <c r="V35" s="25">
        <f ca="1">DATEDIF(Table1[[#This Row],[Date]],TODAY(),"d")</f>
        <v>625</v>
      </c>
      <c r="W35" s="28">
        <f>EOMONTH(Table1[[#This Row],[Date]],0)</f>
        <v>45443</v>
      </c>
      <c r="X35" s="26">
        <f t="shared" ca="1" si="2"/>
        <v>46040.622929282406</v>
      </c>
    </row>
    <row r="36" spans="1:24" ht="15.75" thickBot="1" x14ac:dyDescent="0.3">
      <c r="A36" s="5" t="s">
        <v>135</v>
      </c>
      <c r="B36" s="3">
        <v>45434</v>
      </c>
      <c r="C36" s="12" t="str">
        <f>TEXT(Table1[[#This Row],[Date]],"mmm")</f>
        <v>May</v>
      </c>
      <c r="D36" s="12">
        <f>YEAR(Table1[[#This Row],[Date]])</f>
        <v>2024</v>
      </c>
      <c r="E36" s="3" t="str">
        <f>TEXT(Table1[[#This Row],[Date]],"mmm-yyyy")</f>
        <v>May-2024</v>
      </c>
      <c r="F36" s="1" t="s">
        <v>99</v>
      </c>
      <c r="G36" s="1" t="s">
        <v>100</v>
      </c>
      <c r="H36" s="1" t="str">
        <f>LEFT(Table1[[#This Row],[Customer_Name]],1)&amp;LEFT(MID(Table1[[#This Row],[Customer_Name]],FIND(" ",Table1[[#This Row],[Customer_Name]])+1,50),1)</f>
        <v>PM</v>
      </c>
      <c r="I36" s="1" t="s">
        <v>105</v>
      </c>
      <c r="J36" s="1" t="s">
        <v>106</v>
      </c>
      <c r="K36" s="1" t="s">
        <v>46</v>
      </c>
      <c r="L36" s="12">
        <v>3</v>
      </c>
      <c r="M36" s="16">
        <v>299.99</v>
      </c>
      <c r="N36" s="1" t="s">
        <v>26</v>
      </c>
      <c r="O36" s="1" t="s">
        <v>63</v>
      </c>
      <c r="P36" s="1" t="str">
        <f>UPPER(LEFT(Table1[[#This Row],[Region]],2))</f>
        <v>EA</v>
      </c>
      <c r="Q36" s="1" t="s">
        <v>22</v>
      </c>
      <c r="R36" s="3">
        <v>44824</v>
      </c>
      <c r="S36" s="20">
        <v>899.97</v>
      </c>
      <c r="T36" s="23">
        <f t="shared" ca="1" si="0"/>
        <v>46057</v>
      </c>
      <c r="U36" s="26">
        <f t="shared" ca="1" si="1"/>
        <v>46057.595634259262</v>
      </c>
      <c r="V36" s="25">
        <f ca="1">DATEDIF(Table1[[#This Row],[Date]],TODAY(),"d")</f>
        <v>623</v>
      </c>
      <c r="W36" s="28">
        <f>EOMONTH(Table1[[#This Row],[Date]],0)</f>
        <v>45443</v>
      </c>
      <c r="X36" s="26">
        <f t="shared" ca="1" si="2"/>
        <v>46040.622929282406</v>
      </c>
    </row>
    <row r="37" spans="1:24" ht="15.75" thickBot="1" x14ac:dyDescent="0.3">
      <c r="A37" s="5" t="s">
        <v>136</v>
      </c>
      <c r="B37" s="3">
        <v>45435</v>
      </c>
      <c r="C37" s="12" t="str">
        <f>TEXT(Table1[[#This Row],[Date]],"mmm")</f>
        <v>May</v>
      </c>
      <c r="D37" s="12">
        <f>YEAR(Table1[[#This Row],[Date]])</f>
        <v>2024</v>
      </c>
      <c r="E37" s="3" t="str">
        <f>TEXT(Table1[[#This Row],[Date]],"mmm-yyyy")</f>
        <v>May-2024</v>
      </c>
      <c r="F37" s="1" t="s">
        <v>129</v>
      </c>
      <c r="G37" s="1" t="s">
        <v>130</v>
      </c>
      <c r="H37" s="1" t="str">
        <f>LEFT(Table1[[#This Row],[Customer_Name]],1)&amp;LEFT(MID(Table1[[#This Row],[Customer_Name]],FIND(" ",Table1[[#This Row],[Customer_Name]])+1,50),1)</f>
        <v>LA</v>
      </c>
      <c r="I37" s="1" t="s">
        <v>114</v>
      </c>
      <c r="J37" s="1" t="s">
        <v>115</v>
      </c>
      <c r="K37" s="1" t="s">
        <v>33</v>
      </c>
      <c r="L37" s="12">
        <v>3</v>
      </c>
      <c r="M37" s="16">
        <v>79.989999999999995</v>
      </c>
      <c r="N37" s="1" t="s">
        <v>20</v>
      </c>
      <c r="O37" s="1" t="s">
        <v>35</v>
      </c>
      <c r="P37" s="1" t="str">
        <f>UPPER(LEFT(Table1[[#This Row],[Region]],2))</f>
        <v>SO</v>
      </c>
      <c r="Q37" s="1" t="s">
        <v>22</v>
      </c>
      <c r="R37" s="3">
        <v>45046</v>
      </c>
      <c r="S37" s="20">
        <v>239.97</v>
      </c>
      <c r="T37" s="23">
        <f t="shared" ca="1" si="0"/>
        <v>46057</v>
      </c>
      <c r="U37" s="26">
        <f t="shared" ca="1" si="1"/>
        <v>46057.595634259262</v>
      </c>
      <c r="V37" s="25">
        <f ca="1">DATEDIF(Table1[[#This Row],[Date]],TODAY(),"d")</f>
        <v>622</v>
      </c>
      <c r="W37" s="28">
        <f>EOMONTH(Table1[[#This Row],[Date]],0)</f>
        <v>45443</v>
      </c>
      <c r="X37" s="26">
        <f t="shared" ca="1" si="2"/>
        <v>46040.622929282406</v>
      </c>
    </row>
    <row r="38" spans="1:24" ht="15.75" thickBot="1" x14ac:dyDescent="0.3">
      <c r="A38" s="5" t="s">
        <v>137</v>
      </c>
      <c r="B38" s="3">
        <v>45438</v>
      </c>
      <c r="C38" s="12" t="str">
        <f>TEXT(Table1[[#This Row],[Date]],"mmm")</f>
        <v>May</v>
      </c>
      <c r="D38" s="12">
        <f>YEAR(Table1[[#This Row],[Date]])</f>
        <v>2024</v>
      </c>
      <c r="E38" s="3" t="str">
        <f>TEXT(Table1[[#This Row],[Date]],"mmm-yyyy")</f>
        <v>May-2024</v>
      </c>
      <c r="F38" s="1" t="s">
        <v>138</v>
      </c>
      <c r="G38" s="1" t="s">
        <v>139</v>
      </c>
      <c r="H38" s="1" t="str">
        <f>LEFT(Table1[[#This Row],[Customer_Name]],1)&amp;LEFT(MID(Table1[[#This Row],[Customer_Name]],FIND(" ",Table1[[#This Row],[Customer_Name]])+1,50),1)</f>
        <v>ST</v>
      </c>
      <c r="I38" s="1" t="s">
        <v>126</v>
      </c>
      <c r="J38" s="1" t="s">
        <v>127</v>
      </c>
      <c r="K38" s="1" t="s">
        <v>46</v>
      </c>
      <c r="L38" s="12">
        <v>3</v>
      </c>
      <c r="M38" s="16">
        <v>199.99</v>
      </c>
      <c r="N38" s="1" t="s">
        <v>26</v>
      </c>
      <c r="O38" s="1" t="s">
        <v>40</v>
      </c>
      <c r="P38" s="1" t="str">
        <f>UPPER(LEFT(Table1[[#This Row],[Region]],2))</f>
        <v>NO</v>
      </c>
      <c r="Q38" s="1" t="s">
        <v>27</v>
      </c>
      <c r="R38" s="3">
        <v>45292</v>
      </c>
      <c r="S38" s="20">
        <v>599.97</v>
      </c>
      <c r="T38" s="23">
        <f t="shared" ca="1" si="0"/>
        <v>46057</v>
      </c>
      <c r="U38" s="26">
        <f t="shared" ca="1" si="1"/>
        <v>46057.595634259262</v>
      </c>
      <c r="V38" s="25">
        <f ca="1">DATEDIF(Table1[[#This Row],[Date]],TODAY(),"d")</f>
        <v>619</v>
      </c>
      <c r="W38" s="28">
        <f>EOMONTH(Table1[[#This Row],[Date]],0)</f>
        <v>45443</v>
      </c>
      <c r="X38" s="26">
        <f t="shared" ca="1" si="2"/>
        <v>46040.622929282406</v>
      </c>
    </row>
    <row r="39" spans="1:24" ht="15.75" thickBot="1" x14ac:dyDescent="0.3">
      <c r="A39" s="5" t="s">
        <v>140</v>
      </c>
      <c r="B39" s="3">
        <v>45440</v>
      </c>
      <c r="C39" s="12" t="str">
        <f>TEXT(Table1[[#This Row],[Date]],"mmm")</f>
        <v>May</v>
      </c>
      <c r="D39" s="12">
        <f>YEAR(Table1[[#This Row],[Date]])</f>
        <v>2024</v>
      </c>
      <c r="E39" s="3" t="str">
        <f>TEXT(Table1[[#This Row],[Date]],"mmm-yyyy")</f>
        <v>May-2024</v>
      </c>
      <c r="F39" s="1" t="s">
        <v>141</v>
      </c>
      <c r="G39" s="1" t="s">
        <v>142</v>
      </c>
      <c r="H39" s="1" t="str">
        <f>LEFT(Table1[[#This Row],[Customer_Name]],1)&amp;LEFT(MID(Table1[[#This Row],[Customer_Name]],FIND(" ",Table1[[#This Row],[Customer_Name]])+1,50),1)</f>
        <v>JT</v>
      </c>
      <c r="I39" s="1" t="s">
        <v>80</v>
      </c>
      <c r="J39" s="1" t="s">
        <v>81</v>
      </c>
      <c r="K39" s="1" t="s">
        <v>19</v>
      </c>
      <c r="L39" s="12">
        <v>5</v>
      </c>
      <c r="M39" s="16">
        <v>699.99</v>
      </c>
      <c r="N39" s="1" t="s">
        <v>34</v>
      </c>
      <c r="O39" s="1" t="s">
        <v>50</v>
      </c>
      <c r="P39" s="1" t="str">
        <f>UPPER(LEFT(Table1[[#This Row],[Region]],2))</f>
        <v>WE</v>
      </c>
      <c r="Q39" s="1" t="s">
        <v>36</v>
      </c>
      <c r="R39" s="3">
        <v>44407</v>
      </c>
      <c r="S39" s="20">
        <v>3499.95</v>
      </c>
      <c r="T39" s="23">
        <f t="shared" ca="1" si="0"/>
        <v>46057</v>
      </c>
      <c r="U39" s="26">
        <f t="shared" ca="1" si="1"/>
        <v>46057.595634259262</v>
      </c>
      <c r="V39" s="25">
        <f ca="1">DATEDIF(Table1[[#This Row],[Date]],TODAY(),"d")</f>
        <v>617</v>
      </c>
      <c r="W39" s="28">
        <f>EOMONTH(Table1[[#This Row],[Date]],0)</f>
        <v>45443</v>
      </c>
      <c r="X39" s="26">
        <f t="shared" ca="1" si="2"/>
        <v>46040.622929282406</v>
      </c>
    </row>
    <row r="40" spans="1:24" ht="15.75" thickBot="1" x14ac:dyDescent="0.3">
      <c r="A40" s="5" t="s">
        <v>143</v>
      </c>
      <c r="B40" s="3">
        <v>45441</v>
      </c>
      <c r="C40" s="12" t="str">
        <f>TEXT(Table1[[#This Row],[Date]],"mmm")</f>
        <v>May</v>
      </c>
      <c r="D40" s="12">
        <f>YEAR(Table1[[#This Row],[Date]])</f>
        <v>2024</v>
      </c>
      <c r="E40" s="3" t="str">
        <f>TEXT(Table1[[#This Row],[Date]],"mmm-yyyy")</f>
        <v>May-2024</v>
      </c>
      <c r="F40" s="1" t="s">
        <v>144</v>
      </c>
      <c r="G40" s="1" t="s">
        <v>145</v>
      </c>
      <c r="H40" s="1" t="str">
        <f>LEFT(Table1[[#This Row],[Customer_Name]],1)&amp;LEFT(MID(Table1[[#This Row],[Customer_Name]],FIND(" ",Table1[[#This Row],[Customer_Name]])+1,50),1)</f>
        <v>HM</v>
      </c>
      <c r="I40" s="1" t="s">
        <v>117</v>
      </c>
      <c r="J40" s="1" t="s">
        <v>118</v>
      </c>
      <c r="K40" s="1" t="s">
        <v>19</v>
      </c>
      <c r="L40" s="12">
        <v>3</v>
      </c>
      <c r="M40" s="16">
        <v>89.99</v>
      </c>
      <c r="N40" s="1" t="s">
        <v>34</v>
      </c>
      <c r="O40" s="1" t="s">
        <v>21</v>
      </c>
      <c r="P40" s="1" t="str">
        <f>UPPER(LEFT(Table1[[#This Row],[Region]],2))</f>
        <v>CE</v>
      </c>
      <c r="Q40" s="1" t="s">
        <v>27</v>
      </c>
      <c r="R40" s="3">
        <v>45120</v>
      </c>
      <c r="S40" s="20">
        <v>269.97000000000003</v>
      </c>
      <c r="T40" s="23">
        <f t="shared" ca="1" si="0"/>
        <v>46057</v>
      </c>
      <c r="U40" s="26">
        <f t="shared" ca="1" si="1"/>
        <v>46057.595634259262</v>
      </c>
      <c r="V40" s="25">
        <f ca="1">DATEDIF(Table1[[#This Row],[Date]],TODAY(),"d")</f>
        <v>616</v>
      </c>
      <c r="W40" s="28">
        <f>EOMONTH(Table1[[#This Row],[Date]],0)</f>
        <v>45443</v>
      </c>
      <c r="X40" s="26">
        <f t="shared" ca="1" si="2"/>
        <v>46040.622929282406</v>
      </c>
    </row>
    <row r="41" spans="1:24" ht="15.75" thickBot="1" x14ac:dyDescent="0.3">
      <c r="A41" s="5" t="s">
        <v>146</v>
      </c>
      <c r="B41" s="3">
        <v>45443</v>
      </c>
      <c r="C41" s="12" t="str">
        <f>TEXT(Table1[[#This Row],[Date]],"mmm")</f>
        <v>May</v>
      </c>
      <c r="D41" s="12">
        <f>YEAR(Table1[[#This Row],[Date]])</f>
        <v>2024</v>
      </c>
      <c r="E41" s="3" t="str">
        <f>TEXT(Table1[[#This Row],[Date]],"mmm-yyyy")</f>
        <v>May-2024</v>
      </c>
      <c r="F41" s="1" t="s">
        <v>147</v>
      </c>
      <c r="G41" s="1" t="s">
        <v>148</v>
      </c>
      <c r="H41" s="1" t="str">
        <f>LEFT(Table1[[#This Row],[Customer_Name]],1)&amp;LEFT(MID(Table1[[#This Row],[Customer_Name]],FIND(" ",Table1[[#This Row],[Customer_Name]])+1,50),1)</f>
        <v>DK</v>
      </c>
      <c r="I41" s="1" t="s">
        <v>114</v>
      </c>
      <c r="J41" s="1" t="s">
        <v>115</v>
      </c>
      <c r="K41" s="1" t="s">
        <v>33</v>
      </c>
      <c r="L41" s="12">
        <v>1</v>
      </c>
      <c r="M41" s="16">
        <v>79.989999999999995</v>
      </c>
      <c r="N41" s="1" t="s">
        <v>20</v>
      </c>
      <c r="O41" s="1" t="s">
        <v>40</v>
      </c>
      <c r="P41" s="1" t="str">
        <f>UPPER(LEFT(Table1[[#This Row],[Region]],2))</f>
        <v>NO</v>
      </c>
      <c r="Q41" s="1" t="s">
        <v>36</v>
      </c>
      <c r="R41" s="3">
        <v>44917</v>
      </c>
      <c r="S41" s="20">
        <v>79.989999999999995</v>
      </c>
      <c r="T41" s="23">
        <f t="shared" ca="1" si="0"/>
        <v>46057</v>
      </c>
      <c r="U41" s="26">
        <f t="shared" ca="1" si="1"/>
        <v>46057.595634259262</v>
      </c>
      <c r="V41" s="25">
        <f ca="1">DATEDIF(Table1[[#This Row],[Date]],TODAY(),"d")</f>
        <v>614</v>
      </c>
      <c r="W41" s="28">
        <f>EOMONTH(Table1[[#This Row],[Date]],0)</f>
        <v>45443</v>
      </c>
      <c r="X41" s="26">
        <f t="shared" ca="1" si="2"/>
        <v>46040.622929282406</v>
      </c>
    </row>
    <row r="42" spans="1:24" ht="15.75" thickBot="1" x14ac:dyDescent="0.3">
      <c r="A42" s="5" t="s">
        <v>149</v>
      </c>
      <c r="B42" s="3">
        <v>45444</v>
      </c>
      <c r="C42" s="12" t="str">
        <f>TEXT(Table1[[#This Row],[Date]],"mmm")</f>
        <v>Jun</v>
      </c>
      <c r="D42" s="12">
        <f>YEAR(Table1[[#This Row],[Date]])</f>
        <v>2024</v>
      </c>
      <c r="E42" s="3" t="str">
        <f>TEXT(Table1[[#This Row],[Date]],"mmm-yyyy")</f>
        <v>Jun-2024</v>
      </c>
      <c r="F42" s="1" t="s">
        <v>150</v>
      </c>
      <c r="G42" s="1" t="s">
        <v>151</v>
      </c>
      <c r="H42" s="1" t="str">
        <f>LEFT(Table1[[#This Row],[Customer_Name]],1)&amp;LEFT(MID(Table1[[#This Row],[Customer_Name]],FIND(" ",Table1[[#This Row],[Customer_Name]])+1,50),1)</f>
        <v>SB</v>
      </c>
      <c r="I42" s="1" t="s">
        <v>31</v>
      </c>
      <c r="J42" s="1" t="s">
        <v>32</v>
      </c>
      <c r="K42" s="1" t="s">
        <v>33</v>
      </c>
      <c r="L42" s="12">
        <v>2</v>
      </c>
      <c r="M42" s="16">
        <v>59.99</v>
      </c>
      <c r="N42" s="1" t="s">
        <v>20</v>
      </c>
      <c r="O42" s="1" t="s">
        <v>50</v>
      </c>
      <c r="P42" s="1" t="str">
        <f>UPPER(LEFT(Table1[[#This Row],[Region]],2))</f>
        <v>WE</v>
      </c>
      <c r="Q42" s="1" t="s">
        <v>22</v>
      </c>
      <c r="R42" s="3">
        <v>45390</v>
      </c>
      <c r="S42" s="20">
        <v>119.98</v>
      </c>
      <c r="T42" s="23">
        <f t="shared" ca="1" si="0"/>
        <v>46057</v>
      </c>
      <c r="U42" s="26">
        <f t="shared" ca="1" si="1"/>
        <v>46057.595634259262</v>
      </c>
      <c r="V42" s="25">
        <f ca="1">DATEDIF(Table1[[#This Row],[Date]],TODAY(),"d")</f>
        <v>613</v>
      </c>
      <c r="W42" s="28">
        <f>EOMONTH(Table1[[#This Row],[Date]],0)</f>
        <v>45473</v>
      </c>
      <c r="X42" s="26">
        <f t="shared" ca="1" si="2"/>
        <v>46040.622929282406</v>
      </c>
    </row>
    <row r="43" spans="1:24" ht="15.75" thickBot="1" x14ac:dyDescent="0.3">
      <c r="A43" s="5" t="s">
        <v>152</v>
      </c>
      <c r="B43" s="3">
        <v>45444</v>
      </c>
      <c r="C43" s="12" t="str">
        <f>TEXT(Table1[[#This Row],[Date]],"mmm")</f>
        <v>Jun</v>
      </c>
      <c r="D43" s="12">
        <f>YEAR(Table1[[#This Row],[Date]])</f>
        <v>2024</v>
      </c>
      <c r="E43" s="3" t="str">
        <f>TEXT(Table1[[#This Row],[Date]],"mmm-yyyy")</f>
        <v>Jun-2024</v>
      </c>
      <c r="F43" s="1" t="s">
        <v>55</v>
      </c>
      <c r="G43" s="1" t="s">
        <v>56</v>
      </c>
      <c r="H43" s="1" t="str">
        <f>LEFT(Table1[[#This Row],[Customer_Name]],1)&amp;LEFT(MID(Table1[[#This Row],[Customer_Name]],FIND(" ",Table1[[#This Row],[Customer_Name]])+1,50),1)</f>
        <v>CA</v>
      </c>
      <c r="I43" s="1" t="s">
        <v>117</v>
      </c>
      <c r="J43" s="1" t="s">
        <v>118</v>
      </c>
      <c r="K43" s="1" t="s">
        <v>19</v>
      </c>
      <c r="L43" s="12">
        <v>1</v>
      </c>
      <c r="M43" s="16">
        <v>89.99</v>
      </c>
      <c r="N43" s="1" t="s">
        <v>20</v>
      </c>
      <c r="O43" s="1" t="s">
        <v>40</v>
      </c>
      <c r="P43" s="1" t="str">
        <f>UPPER(LEFT(Table1[[#This Row],[Region]],2))</f>
        <v>NO</v>
      </c>
      <c r="Q43" s="1" t="s">
        <v>22</v>
      </c>
      <c r="R43" s="3">
        <v>45141</v>
      </c>
      <c r="S43" s="20">
        <v>89.99</v>
      </c>
      <c r="T43" s="23">
        <f t="shared" ca="1" si="0"/>
        <v>46057</v>
      </c>
      <c r="U43" s="26">
        <f t="shared" ca="1" si="1"/>
        <v>46057.595634259262</v>
      </c>
      <c r="V43" s="25">
        <f ca="1">DATEDIF(Table1[[#This Row],[Date]],TODAY(),"d")</f>
        <v>613</v>
      </c>
      <c r="W43" s="28">
        <f>EOMONTH(Table1[[#This Row],[Date]],0)</f>
        <v>45473</v>
      </c>
      <c r="X43" s="26">
        <f t="shared" ca="1" si="2"/>
        <v>46040.622929282406</v>
      </c>
    </row>
    <row r="44" spans="1:24" ht="15.75" thickBot="1" x14ac:dyDescent="0.3">
      <c r="A44" s="5" t="s">
        <v>153</v>
      </c>
      <c r="B44" s="3">
        <v>45446</v>
      </c>
      <c r="C44" s="12" t="str">
        <f>TEXT(Table1[[#This Row],[Date]],"mmm")</f>
        <v>Jun</v>
      </c>
      <c r="D44" s="12">
        <f>YEAR(Table1[[#This Row],[Date]])</f>
        <v>2024</v>
      </c>
      <c r="E44" s="3" t="str">
        <f>TEXT(Table1[[#This Row],[Date]],"mmm-yyyy")</f>
        <v>Jun-2024</v>
      </c>
      <c r="F44" s="1" t="s">
        <v>154</v>
      </c>
      <c r="G44" s="1" t="s">
        <v>155</v>
      </c>
      <c r="H44" s="1" t="str">
        <f>LEFT(Table1[[#This Row],[Customer_Name]],1)&amp;LEFT(MID(Table1[[#This Row],[Customer_Name]],FIND(" ",Table1[[#This Row],[Customer_Name]])+1,50),1)</f>
        <v>SD</v>
      </c>
      <c r="I44" s="1" t="s">
        <v>117</v>
      </c>
      <c r="J44" s="1" t="s">
        <v>118</v>
      </c>
      <c r="K44" s="1" t="s">
        <v>19</v>
      </c>
      <c r="L44" s="12">
        <v>5</v>
      </c>
      <c r="M44" s="16">
        <v>89.99</v>
      </c>
      <c r="N44" s="1" t="s">
        <v>26</v>
      </c>
      <c r="O44" s="1" t="s">
        <v>63</v>
      </c>
      <c r="P44" s="1" t="str">
        <f>UPPER(LEFT(Table1[[#This Row],[Region]],2))</f>
        <v>EA</v>
      </c>
      <c r="Q44" s="1" t="s">
        <v>36</v>
      </c>
      <c r="R44" s="3">
        <v>44587</v>
      </c>
      <c r="S44" s="20">
        <v>449.95</v>
      </c>
      <c r="T44" s="23">
        <f t="shared" ca="1" si="0"/>
        <v>46057</v>
      </c>
      <c r="U44" s="26">
        <f t="shared" ca="1" si="1"/>
        <v>46057.595634259262</v>
      </c>
      <c r="V44" s="25">
        <f ca="1">DATEDIF(Table1[[#This Row],[Date]],TODAY(),"d")</f>
        <v>611</v>
      </c>
      <c r="W44" s="28">
        <f>EOMONTH(Table1[[#This Row],[Date]],0)</f>
        <v>45473</v>
      </c>
      <c r="X44" s="26">
        <f t="shared" ca="1" si="2"/>
        <v>46040.622929282406</v>
      </c>
    </row>
    <row r="45" spans="1:24" ht="15.75" thickBot="1" x14ac:dyDescent="0.3">
      <c r="A45" s="5" t="s">
        <v>156</v>
      </c>
      <c r="B45" s="3">
        <v>45449</v>
      </c>
      <c r="C45" s="12" t="str">
        <f>TEXT(Table1[[#This Row],[Date]],"mmm")</f>
        <v>Jun</v>
      </c>
      <c r="D45" s="12">
        <f>YEAR(Table1[[#This Row],[Date]])</f>
        <v>2024</v>
      </c>
      <c r="E45" s="3" t="str">
        <f>TEXT(Table1[[#This Row],[Date]],"mmm-yyyy")</f>
        <v>Jun-2024</v>
      </c>
      <c r="F45" s="1" t="s">
        <v>24</v>
      </c>
      <c r="G45" s="1" t="s">
        <v>25</v>
      </c>
      <c r="H45" s="1" t="str">
        <f>LEFT(Table1[[#This Row],[Customer_Name]],1)&amp;LEFT(MID(Table1[[#This Row],[Customer_Name]],FIND(" ",Table1[[#This Row],[Customer_Name]])+1,50),1)</f>
        <v>JJ</v>
      </c>
      <c r="I45" s="1" t="s">
        <v>17</v>
      </c>
      <c r="J45" s="1" t="s">
        <v>18</v>
      </c>
      <c r="K45" s="1" t="s">
        <v>19</v>
      </c>
      <c r="L45" s="12">
        <v>5</v>
      </c>
      <c r="M45" s="16">
        <v>249.99</v>
      </c>
      <c r="N45" s="1" t="s">
        <v>26</v>
      </c>
      <c r="O45" s="1" t="s">
        <v>63</v>
      </c>
      <c r="P45" s="1" t="str">
        <f>UPPER(LEFT(Table1[[#This Row],[Region]],2))</f>
        <v>EA</v>
      </c>
      <c r="Q45" s="1" t="s">
        <v>36</v>
      </c>
      <c r="R45" s="3">
        <v>44707</v>
      </c>
      <c r="S45" s="20">
        <v>1249.95</v>
      </c>
      <c r="T45" s="23">
        <f t="shared" ca="1" si="0"/>
        <v>46057</v>
      </c>
      <c r="U45" s="26">
        <f t="shared" ca="1" si="1"/>
        <v>46057.595634259262</v>
      </c>
      <c r="V45" s="25">
        <f ca="1">DATEDIF(Table1[[#This Row],[Date]],TODAY(),"d")</f>
        <v>608</v>
      </c>
      <c r="W45" s="28">
        <f>EOMONTH(Table1[[#This Row],[Date]],0)</f>
        <v>45473</v>
      </c>
      <c r="X45" s="26">
        <f t="shared" ca="1" si="2"/>
        <v>46040.622929282406</v>
      </c>
    </row>
    <row r="46" spans="1:24" ht="15.75" thickBot="1" x14ac:dyDescent="0.3">
      <c r="A46" s="5" t="s">
        <v>157</v>
      </c>
      <c r="B46" s="3">
        <v>45449</v>
      </c>
      <c r="C46" s="12" t="str">
        <f>TEXT(Table1[[#This Row],[Date]],"mmm")</f>
        <v>Jun</v>
      </c>
      <c r="D46" s="12">
        <f>YEAR(Table1[[#This Row],[Date]])</f>
        <v>2024</v>
      </c>
      <c r="E46" s="3" t="str">
        <f>TEXT(Table1[[#This Row],[Date]],"mmm-yyyy")</f>
        <v>Jun-2024</v>
      </c>
      <c r="F46" s="1" t="s">
        <v>158</v>
      </c>
      <c r="G46" s="1" t="s">
        <v>159</v>
      </c>
      <c r="H46" s="1" t="str">
        <f>LEFT(Table1[[#This Row],[Customer_Name]],1)&amp;LEFT(MID(Table1[[#This Row],[Customer_Name]],FIND(" ",Table1[[#This Row],[Customer_Name]])+1,50),1)</f>
        <v>BC</v>
      </c>
      <c r="I46" s="1" t="s">
        <v>117</v>
      </c>
      <c r="J46" s="1" t="s">
        <v>118</v>
      </c>
      <c r="K46" s="1" t="s">
        <v>19</v>
      </c>
      <c r="L46" s="12">
        <v>1</v>
      </c>
      <c r="M46" s="16">
        <v>89.99</v>
      </c>
      <c r="N46" s="1" t="s">
        <v>26</v>
      </c>
      <c r="O46" s="1" t="s">
        <v>35</v>
      </c>
      <c r="P46" s="1" t="str">
        <f>UPPER(LEFT(Table1[[#This Row],[Region]],2))</f>
        <v>SO</v>
      </c>
      <c r="Q46" s="1" t="s">
        <v>36</v>
      </c>
      <c r="R46" s="3">
        <v>44582</v>
      </c>
      <c r="S46" s="20">
        <v>89.99</v>
      </c>
      <c r="T46" s="23">
        <f t="shared" ca="1" si="0"/>
        <v>46057</v>
      </c>
      <c r="U46" s="26">
        <f t="shared" ca="1" si="1"/>
        <v>46057.595634259262</v>
      </c>
      <c r="V46" s="25">
        <f ca="1">DATEDIF(Table1[[#This Row],[Date]],TODAY(),"d")</f>
        <v>608</v>
      </c>
      <c r="W46" s="28">
        <f>EOMONTH(Table1[[#This Row],[Date]],0)</f>
        <v>45473</v>
      </c>
      <c r="X46" s="26">
        <f t="shared" ca="1" si="2"/>
        <v>46040.622929282406</v>
      </c>
    </row>
    <row r="47" spans="1:24" ht="15.75" thickBot="1" x14ac:dyDescent="0.3">
      <c r="A47" s="5" t="s">
        <v>160</v>
      </c>
      <c r="B47" s="3">
        <v>45450</v>
      </c>
      <c r="C47" s="12" t="str">
        <f>TEXT(Table1[[#This Row],[Date]],"mmm")</f>
        <v>Jun</v>
      </c>
      <c r="D47" s="12">
        <f>YEAR(Table1[[#This Row],[Date]])</f>
        <v>2024</v>
      </c>
      <c r="E47" s="3" t="str">
        <f>TEXT(Table1[[#This Row],[Date]],"mmm-yyyy")</f>
        <v>Jun-2024</v>
      </c>
      <c r="F47" s="1" t="s">
        <v>42</v>
      </c>
      <c r="G47" s="1" t="s">
        <v>43</v>
      </c>
      <c r="H47" s="1" t="str">
        <f>LEFT(Table1[[#This Row],[Customer_Name]],1)&amp;LEFT(MID(Table1[[#This Row],[Customer_Name]],FIND(" ",Table1[[#This Row],[Customer_Name]])+1,50),1)</f>
        <v>MB</v>
      </c>
      <c r="I47" s="1" t="s">
        <v>44</v>
      </c>
      <c r="J47" s="1" t="s">
        <v>45</v>
      </c>
      <c r="K47" s="1" t="s">
        <v>46</v>
      </c>
      <c r="L47" s="12">
        <v>2</v>
      </c>
      <c r="M47" s="16">
        <v>149.99</v>
      </c>
      <c r="N47" s="1" t="s">
        <v>20</v>
      </c>
      <c r="O47" s="1" t="s">
        <v>63</v>
      </c>
      <c r="P47" s="1" t="str">
        <f>UPPER(LEFT(Table1[[#This Row],[Region]],2))</f>
        <v>EA</v>
      </c>
      <c r="Q47" s="1" t="s">
        <v>27</v>
      </c>
      <c r="R47" s="3">
        <v>44645</v>
      </c>
      <c r="S47" s="20">
        <v>299.98</v>
      </c>
      <c r="T47" s="23">
        <f t="shared" ca="1" si="0"/>
        <v>46057</v>
      </c>
      <c r="U47" s="26">
        <f t="shared" ca="1" si="1"/>
        <v>46057.595634259262</v>
      </c>
      <c r="V47" s="25">
        <f ca="1">DATEDIF(Table1[[#This Row],[Date]],TODAY(),"d")</f>
        <v>607</v>
      </c>
      <c r="W47" s="28">
        <f>EOMONTH(Table1[[#This Row],[Date]],0)</f>
        <v>45473</v>
      </c>
      <c r="X47" s="26">
        <f t="shared" ca="1" si="2"/>
        <v>46040.622929282406</v>
      </c>
    </row>
    <row r="48" spans="1:24" ht="15.75" thickBot="1" x14ac:dyDescent="0.3">
      <c r="A48" s="5" t="s">
        <v>161</v>
      </c>
      <c r="B48" s="3">
        <v>45452</v>
      </c>
      <c r="C48" s="12" t="str">
        <f>TEXT(Table1[[#This Row],[Date]],"mmm")</f>
        <v>Jun</v>
      </c>
      <c r="D48" s="12">
        <f>YEAR(Table1[[#This Row],[Date]])</f>
        <v>2024</v>
      </c>
      <c r="E48" s="3" t="str">
        <f>TEXT(Table1[[#This Row],[Date]],"mmm-yyyy")</f>
        <v>Jun-2024</v>
      </c>
      <c r="F48" s="1" t="s">
        <v>162</v>
      </c>
      <c r="G48" s="1" t="s">
        <v>163</v>
      </c>
      <c r="H48" s="1" t="str">
        <f>LEFT(Table1[[#This Row],[Customer_Name]],1)&amp;LEFT(MID(Table1[[#This Row],[Customer_Name]],FIND(" ",Table1[[#This Row],[Customer_Name]])+1,50),1)</f>
        <v>JF</v>
      </c>
      <c r="I48" s="1" t="s">
        <v>31</v>
      </c>
      <c r="J48" s="1" t="s">
        <v>32</v>
      </c>
      <c r="K48" s="1" t="s">
        <v>33</v>
      </c>
      <c r="L48" s="12">
        <v>4</v>
      </c>
      <c r="M48" s="16">
        <v>59.99</v>
      </c>
      <c r="N48" s="1" t="s">
        <v>20</v>
      </c>
      <c r="O48" s="1" t="s">
        <v>63</v>
      </c>
      <c r="P48" s="1" t="str">
        <f>UPPER(LEFT(Table1[[#This Row],[Region]],2))</f>
        <v>EA</v>
      </c>
      <c r="Q48" s="1" t="s">
        <v>36</v>
      </c>
      <c r="R48" s="3">
        <v>44435</v>
      </c>
      <c r="S48" s="20">
        <v>239.96</v>
      </c>
      <c r="T48" s="23">
        <f t="shared" ca="1" si="0"/>
        <v>46057</v>
      </c>
      <c r="U48" s="26">
        <f t="shared" ca="1" si="1"/>
        <v>46057.595634259262</v>
      </c>
      <c r="V48" s="25">
        <f ca="1">DATEDIF(Table1[[#This Row],[Date]],TODAY(),"d")</f>
        <v>605</v>
      </c>
      <c r="W48" s="28">
        <f>EOMONTH(Table1[[#This Row],[Date]],0)</f>
        <v>45473</v>
      </c>
      <c r="X48" s="26">
        <f t="shared" ca="1" si="2"/>
        <v>46040.622929282406</v>
      </c>
    </row>
    <row r="49" spans="1:24" ht="15.75" thickBot="1" x14ac:dyDescent="0.3">
      <c r="A49" s="5" t="s">
        <v>164</v>
      </c>
      <c r="B49" s="3">
        <v>45456</v>
      </c>
      <c r="C49" s="12" t="str">
        <f>TEXT(Table1[[#This Row],[Date]],"mmm")</f>
        <v>Jun</v>
      </c>
      <c r="D49" s="12">
        <f>YEAR(Table1[[#This Row],[Date]])</f>
        <v>2024</v>
      </c>
      <c r="E49" s="3" t="str">
        <f>TEXT(Table1[[#This Row],[Date]],"mmm-yyyy")</f>
        <v>Jun-2024</v>
      </c>
      <c r="F49" s="1" t="s">
        <v>129</v>
      </c>
      <c r="G49" s="1" t="s">
        <v>130</v>
      </c>
      <c r="H49" s="1" t="str">
        <f>LEFT(Table1[[#This Row],[Customer_Name]],1)&amp;LEFT(MID(Table1[[#This Row],[Customer_Name]],FIND(" ",Table1[[#This Row],[Customer_Name]])+1,50),1)</f>
        <v>LA</v>
      </c>
      <c r="I49" s="1" t="s">
        <v>117</v>
      </c>
      <c r="J49" s="1" t="s">
        <v>118</v>
      </c>
      <c r="K49" s="1" t="s">
        <v>19</v>
      </c>
      <c r="L49" s="12">
        <v>5</v>
      </c>
      <c r="M49" s="16">
        <v>89.99</v>
      </c>
      <c r="N49" s="1" t="s">
        <v>20</v>
      </c>
      <c r="O49" s="1" t="s">
        <v>21</v>
      </c>
      <c r="P49" s="1" t="str">
        <f>UPPER(LEFT(Table1[[#This Row],[Region]],2))</f>
        <v>CE</v>
      </c>
      <c r="Q49" s="1" t="s">
        <v>27</v>
      </c>
      <c r="R49" s="3">
        <v>44579</v>
      </c>
      <c r="S49" s="20">
        <v>449.95</v>
      </c>
      <c r="T49" s="23">
        <f t="shared" ca="1" si="0"/>
        <v>46057</v>
      </c>
      <c r="U49" s="26">
        <f t="shared" ca="1" si="1"/>
        <v>46057.595634259262</v>
      </c>
      <c r="V49" s="25">
        <f ca="1">DATEDIF(Table1[[#This Row],[Date]],TODAY(),"d")</f>
        <v>601</v>
      </c>
      <c r="W49" s="28">
        <f>EOMONTH(Table1[[#This Row],[Date]],0)</f>
        <v>45473</v>
      </c>
      <c r="X49" s="26">
        <f t="shared" ca="1" si="2"/>
        <v>46040.622929282406</v>
      </c>
    </row>
    <row r="50" spans="1:24" ht="15.75" thickBot="1" x14ac:dyDescent="0.3">
      <c r="A50" s="5" t="s">
        <v>165</v>
      </c>
      <c r="B50" s="3">
        <v>45459</v>
      </c>
      <c r="C50" s="12" t="str">
        <f>TEXT(Table1[[#This Row],[Date]],"mmm")</f>
        <v>Jun</v>
      </c>
      <c r="D50" s="12">
        <f>YEAR(Table1[[#This Row],[Date]])</f>
        <v>2024</v>
      </c>
      <c r="E50" s="3" t="str">
        <f>TEXT(Table1[[#This Row],[Date]],"mmm-yyyy")</f>
        <v>Jun-2024</v>
      </c>
      <c r="F50" s="1" t="s">
        <v>99</v>
      </c>
      <c r="G50" s="1" t="s">
        <v>100</v>
      </c>
      <c r="H50" s="1" t="str">
        <f>LEFT(Table1[[#This Row],[Customer_Name]],1)&amp;LEFT(MID(Table1[[#This Row],[Customer_Name]],FIND(" ",Table1[[#This Row],[Customer_Name]])+1,50),1)</f>
        <v>PM</v>
      </c>
      <c r="I50" s="1" t="s">
        <v>117</v>
      </c>
      <c r="J50" s="1" t="s">
        <v>118</v>
      </c>
      <c r="K50" s="1" t="s">
        <v>19</v>
      </c>
      <c r="L50" s="12">
        <v>2</v>
      </c>
      <c r="M50" s="16">
        <v>89.99</v>
      </c>
      <c r="N50" s="1" t="s">
        <v>26</v>
      </c>
      <c r="O50" s="1" t="s">
        <v>35</v>
      </c>
      <c r="P50" s="1" t="str">
        <f>UPPER(LEFT(Table1[[#This Row],[Region]],2))</f>
        <v>SO</v>
      </c>
      <c r="Q50" s="1" t="s">
        <v>27</v>
      </c>
      <c r="R50" s="3">
        <v>44471</v>
      </c>
      <c r="S50" s="20">
        <v>179.98</v>
      </c>
      <c r="T50" s="23">
        <f t="shared" ca="1" si="0"/>
        <v>46057</v>
      </c>
      <c r="U50" s="26">
        <f t="shared" ca="1" si="1"/>
        <v>46057.595634259262</v>
      </c>
      <c r="V50" s="25">
        <f ca="1">DATEDIF(Table1[[#This Row],[Date]],TODAY(),"d")</f>
        <v>598</v>
      </c>
      <c r="W50" s="28">
        <f>EOMONTH(Table1[[#This Row],[Date]],0)</f>
        <v>45473</v>
      </c>
      <c r="X50" s="26">
        <f t="shared" ca="1" si="2"/>
        <v>46040.622929282406</v>
      </c>
    </row>
    <row r="51" spans="1:24" ht="15.75" thickBot="1" x14ac:dyDescent="0.3">
      <c r="A51" s="5" t="s">
        <v>166</v>
      </c>
      <c r="B51" s="3">
        <v>45459</v>
      </c>
      <c r="C51" s="12" t="str">
        <f>TEXT(Table1[[#This Row],[Date]],"mmm")</f>
        <v>Jun</v>
      </c>
      <c r="D51" s="12">
        <f>YEAR(Table1[[#This Row],[Date]])</f>
        <v>2024</v>
      </c>
      <c r="E51" s="3" t="str">
        <f>TEXT(Table1[[#This Row],[Date]],"mmm-yyyy")</f>
        <v>Jun-2024</v>
      </c>
      <c r="F51" s="1" t="s">
        <v>15</v>
      </c>
      <c r="G51" s="1" t="s">
        <v>16</v>
      </c>
      <c r="H51" s="1" t="str">
        <f>LEFT(Table1[[#This Row],[Customer_Name]],1)&amp;LEFT(MID(Table1[[#This Row],[Customer_Name]],FIND(" ",Table1[[#This Row],[Customer_Name]])+1,50),1)</f>
        <v>PB</v>
      </c>
      <c r="I51" s="1" t="s">
        <v>61</v>
      </c>
      <c r="J51" s="1" t="s">
        <v>62</v>
      </c>
      <c r="K51" s="1" t="s">
        <v>19</v>
      </c>
      <c r="L51" s="12">
        <v>5</v>
      </c>
      <c r="M51" s="16">
        <v>899.99</v>
      </c>
      <c r="N51" s="1" t="s">
        <v>26</v>
      </c>
      <c r="O51" s="1" t="s">
        <v>35</v>
      </c>
      <c r="P51" s="1" t="str">
        <f>UPPER(LEFT(Table1[[#This Row],[Region]],2))</f>
        <v>SO</v>
      </c>
      <c r="Q51" s="1" t="s">
        <v>36</v>
      </c>
      <c r="R51" s="3">
        <v>44974</v>
      </c>
      <c r="S51" s="20">
        <v>4499.95</v>
      </c>
      <c r="T51" s="23">
        <f t="shared" ca="1" si="0"/>
        <v>46057</v>
      </c>
      <c r="U51" s="26">
        <f t="shared" ca="1" si="1"/>
        <v>46057.595634259262</v>
      </c>
      <c r="V51" s="25">
        <f ca="1">DATEDIF(Table1[[#This Row],[Date]],TODAY(),"d")</f>
        <v>598</v>
      </c>
      <c r="W51" s="28">
        <f>EOMONTH(Table1[[#This Row],[Date]],0)</f>
        <v>45473</v>
      </c>
      <c r="X51" s="26">
        <f t="shared" ca="1" si="2"/>
        <v>46040.622929282406</v>
      </c>
    </row>
    <row r="52" spans="1:24" ht="15.75" thickBot="1" x14ac:dyDescent="0.3">
      <c r="A52" s="5" t="s">
        <v>167</v>
      </c>
      <c r="B52" s="3">
        <v>45459</v>
      </c>
      <c r="C52" s="12" t="str">
        <f>TEXT(Table1[[#This Row],[Date]],"mmm")</f>
        <v>Jun</v>
      </c>
      <c r="D52" s="12">
        <f>YEAR(Table1[[#This Row],[Date]])</f>
        <v>2024</v>
      </c>
      <c r="E52" s="3" t="str">
        <f>TEXT(Table1[[#This Row],[Date]],"mmm-yyyy")</f>
        <v>Jun-2024</v>
      </c>
      <c r="F52" s="1" t="s">
        <v>123</v>
      </c>
      <c r="G52" s="1" t="s">
        <v>124</v>
      </c>
      <c r="H52" s="1" t="str">
        <f>LEFT(Table1[[#This Row],[Customer_Name]],1)&amp;LEFT(MID(Table1[[#This Row],[Customer_Name]],FIND(" ",Table1[[#This Row],[Customer_Name]])+1,50),1)</f>
        <v>EM</v>
      </c>
      <c r="I52" s="1" t="s">
        <v>61</v>
      </c>
      <c r="J52" s="1" t="s">
        <v>62</v>
      </c>
      <c r="K52" s="1" t="s">
        <v>19</v>
      </c>
      <c r="L52" s="12">
        <v>5</v>
      </c>
      <c r="M52" s="16">
        <v>899.99</v>
      </c>
      <c r="N52" s="1" t="s">
        <v>34</v>
      </c>
      <c r="O52" s="1" t="s">
        <v>63</v>
      </c>
      <c r="P52" s="1" t="str">
        <f>UPPER(LEFT(Table1[[#This Row],[Region]],2))</f>
        <v>EA</v>
      </c>
      <c r="Q52" s="1" t="s">
        <v>27</v>
      </c>
      <c r="R52" s="3">
        <v>45278</v>
      </c>
      <c r="S52" s="20">
        <v>4499.95</v>
      </c>
      <c r="T52" s="23">
        <f t="shared" ca="1" si="0"/>
        <v>46057</v>
      </c>
      <c r="U52" s="26">
        <f t="shared" ca="1" si="1"/>
        <v>46057.595634259262</v>
      </c>
      <c r="V52" s="25">
        <f ca="1">DATEDIF(Table1[[#This Row],[Date]],TODAY(),"d")</f>
        <v>598</v>
      </c>
      <c r="W52" s="28">
        <f>EOMONTH(Table1[[#This Row],[Date]],0)</f>
        <v>45473</v>
      </c>
      <c r="X52" s="26">
        <f t="shared" ca="1" si="2"/>
        <v>46040.622929282406</v>
      </c>
    </row>
    <row r="53" spans="1:24" ht="15.75" thickBot="1" x14ac:dyDescent="0.3">
      <c r="A53" s="5" t="s">
        <v>168</v>
      </c>
      <c r="B53" s="3">
        <v>45460</v>
      </c>
      <c r="C53" s="12" t="str">
        <f>TEXT(Table1[[#This Row],[Date]],"mmm")</f>
        <v>Jun</v>
      </c>
      <c r="D53" s="12">
        <f>YEAR(Table1[[#This Row],[Date]])</f>
        <v>2024</v>
      </c>
      <c r="E53" s="3" t="str">
        <f>TEXT(Table1[[#This Row],[Date]],"mmm-yyyy")</f>
        <v>Jun-2024</v>
      </c>
      <c r="F53" s="1" t="s">
        <v>158</v>
      </c>
      <c r="G53" s="1" t="s">
        <v>159</v>
      </c>
      <c r="H53" s="1" t="str">
        <f>LEFT(Table1[[#This Row],[Customer_Name]],1)&amp;LEFT(MID(Table1[[#This Row],[Customer_Name]],FIND(" ",Table1[[#This Row],[Customer_Name]])+1,50),1)</f>
        <v>BC</v>
      </c>
      <c r="I53" s="1" t="s">
        <v>31</v>
      </c>
      <c r="J53" s="1" t="s">
        <v>32</v>
      </c>
      <c r="K53" s="1" t="s">
        <v>33</v>
      </c>
      <c r="L53" s="12">
        <v>1</v>
      </c>
      <c r="M53" s="16">
        <v>59.99</v>
      </c>
      <c r="N53" s="1" t="s">
        <v>57</v>
      </c>
      <c r="O53" s="1" t="s">
        <v>50</v>
      </c>
      <c r="P53" s="1" t="str">
        <f>UPPER(LEFT(Table1[[#This Row],[Region]],2))</f>
        <v>WE</v>
      </c>
      <c r="Q53" s="1" t="s">
        <v>27</v>
      </c>
      <c r="R53" s="3">
        <v>45190</v>
      </c>
      <c r="S53" s="20">
        <v>59.99</v>
      </c>
      <c r="T53" s="23">
        <f t="shared" ca="1" si="0"/>
        <v>46057</v>
      </c>
      <c r="U53" s="26">
        <f t="shared" ca="1" si="1"/>
        <v>46057.595634259262</v>
      </c>
      <c r="V53" s="25">
        <f ca="1">DATEDIF(Table1[[#This Row],[Date]],TODAY(),"d")</f>
        <v>597</v>
      </c>
      <c r="W53" s="28">
        <f>EOMONTH(Table1[[#This Row],[Date]],0)</f>
        <v>45473</v>
      </c>
      <c r="X53" s="26">
        <f t="shared" ca="1" si="2"/>
        <v>46040.622929282406</v>
      </c>
    </row>
    <row r="54" spans="1:24" ht="15.75" thickBot="1" x14ac:dyDescent="0.3">
      <c r="A54" s="5" t="s">
        <v>169</v>
      </c>
      <c r="B54" s="3">
        <v>45460</v>
      </c>
      <c r="C54" s="12" t="str">
        <f>TEXT(Table1[[#This Row],[Date]],"mmm")</f>
        <v>Jun</v>
      </c>
      <c r="D54" s="12">
        <f>YEAR(Table1[[#This Row],[Date]])</f>
        <v>2024</v>
      </c>
      <c r="E54" s="3" t="str">
        <f>TEXT(Table1[[#This Row],[Date]],"mmm-yyyy")</f>
        <v>Jun-2024</v>
      </c>
      <c r="F54" s="1" t="s">
        <v>141</v>
      </c>
      <c r="G54" s="1" t="s">
        <v>142</v>
      </c>
      <c r="H54" s="1" t="str">
        <f>LEFT(Table1[[#This Row],[Customer_Name]],1)&amp;LEFT(MID(Table1[[#This Row],[Customer_Name]],FIND(" ",Table1[[#This Row],[Customer_Name]])+1,50),1)</f>
        <v>JT</v>
      </c>
      <c r="I54" s="1" t="s">
        <v>105</v>
      </c>
      <c r="J54" s="1" t="s">
        <v>106</v>
      </c>
      <c r="K54" s="1" t="s">
        <v>46</v>
      </c>
      <c r="L54" s="12">
        <v>2</v>
      </c>
      <c r="M54" s="16">
        <v>299.99</v>
      </c>
      <c r="N54" s="1" t="s">
        <v>57</v>
      </c>
      <c r="O54" s="1" t="s">
        <v>63</v>
      </c>
      <c r="P54" s="1" t="str">
        <f>UPPER(LEFT(Table1[[#This Row],[Region]],2))</f>
        <v>EA</v>
      </c>
      <c r="Q54" s="1" t="s">
        <v>36</v>
      </c>
      <c r="R54" s="3">
        <v>45253</v>
      </c>
      <c r="S54" s="20">
        <v>599.98</v>
      </c>
      <c r="T54" s="23">
        <f t="shared" ca="1" si="0"/>
        <v>46057</v>
      </c>
      <c r="U54" s="26">
        <f t="shared" ca="1" si="1"/>
        <v>46057.595634259262</v>
      </c>
      <c r="V54" s="25">
        <f ca="1">DATEDIF(Table1[[#This Row],[Date]],TODAY(),"d")</f>
        <v>597</v>
      </c>
      <c r="W54" s="28">
        <f>EOMONTH(Table1[[#This Row],[Date]],0)</f>
        <v>45473</v>
      </c>
      <c r="X54" s="26">
        <f t="shared" ca="1" si="2"/>
        <v>46040.622929282406</v>
      </c>
    </row>
    <row r="55" spans="1:24" ht="15.75" thickBot="1" x14ac:dyDescent="0.3">
      <c r="A55" s="5" t="s">
        <v>170</v>
      </c>
      <c r="B55" s="3">
        <v>45468</v>
      </c>
      <c r="C55" s="12" t="str">
        <f>TEXT(Table1[[#This Row],[Date]],"mmm")</f>
        <v>Jun</v>
      </c>
      <c r="D55" s="12">
        <f>YEAR(Table1[[#This Row],[Date]])</f>
        <v>2024</v>
      </c>
      <c r="E55" s="3" t="str">
        <f>TEXT(Table1[[#This Row],[Date]],"mmm-yyyy")</f>
        <v>Jun-2024</v>
      </c>
      <c r="F55" s="1" t="s">
        <v>171</v>
      </c>
      <c r="G55" s="1" t="s">
        <v>172</v>
      </c>
      <c r="H55" s="1" t="str">
        <f>LEFT(Table1[[#This Row],[Customer_Name]],1)&amp;LEFT(MID(Table1[[#This Row],[Customer_Name]],FIND(" ",Table1[[#This Row],[Customer_Name]])+1,50),1)</f>
        <v>RR</v>
      </c>
      <c r="I55" s="1" t="s">
        <v>117</v>
      </c>
      <c r="J55" s="1" t="s">
        <v>118</v>
      </c>
      <c r="K55" s="1" t="s">
        <v>19</v>
      </c>
      <c r="L55" s="12">
        <v>4</v>
      </c>
      <c r="M55" s="16">
        <v>89.99</v>
      </c>
      <c r="N55" s="1" t="s">
        <v>57</v>
      </c>
      <c r="O55" s="1" t="s">
        <v>35</v>
      </c>
      <c r="P55" s="1" t="str">
        <f>UPPER(LEFT(Table1[[#This Row],[Region]],2))</f>
        <v>SO</v>
      </c>
      <c r="Q55" s="1" t="s">
        <v>22</v>
      </c>
      <c r="R55" s="3">
        <v>45281</v>
      </c>
      <c r="S55" s="20">
        <v>359.96</v>
      </c>
      <c r="T55" s="23">
        <f t="shared" ca="1" si="0"/>
        <v>46057</v>
      </c>
      <c r="U55" s="26">
        <f t="shared" ca="1" si="1"/>
        <v>46057.595634259262</v>
      </c>
      <c r="V55" s="25">
        <f ca="1">DATEDIF(Table1[[#This Row],[Date]],TODAY(),"d")</f>
        <v>589</v>
      </c>
      <c r="W55" s="28">
        <f>EOMONTH(Table1[[#This Row],[Date]],0)</f>
        <v>45473</v>
      </c>
      <c r="X55" s="26">
        <f t="shared" ca="1" si="2"/>
        <v>46040.622929282406</v>
      </c>
    </row>
    <row r="56" spans="1:24" ht="15.75" thickBot="1" x14ac:dyDescent="0.3">
      <c r="A56" s="5" t="s">
        <v>173</v>
      </c>
      <c r="B56" s="3">
        <v>45469</v>
      </c>
      <c r="C56" s="12" t="str">
        <f>TEXT(Table1[[#This Row],[Date]],"mmm")</f>
        <v>Jun</v>
      </c>
      <c r="D56" s="12">
        <f>YEAR(Table1[[#This Row],[Date]])</f>
        <v>2024</v>
      </c>
      <c r="E56" s="3" t="str">
        <f>TEXT(Table1[[#This Row],[Date]],"mmm-yyyy")</f>
        <v>Jun-2024</v>
      </c>
      <c r="F56" s="1" t="s">
        <v>29</v>
      </c>
      <c r="G56" s="1" t="s">
        <v>30</v>
      </c>
      <c r="H56" s="1" t="str">
        <f>LEFT(Table1[[#This Row],[Customer_Name]],1)&amp;LEFT(MID(Table1[[#This Row],[Customer_Name]],FIND(" ",Table1[[#This Row],[Customer_Name]])+1,50),1)</f>
        <v>KS</v>
      </c>
      <c r="I56" s="1" t="s">
        <v>114</v>
      </c>
      <c r="J56" s="1" t="s">
        <v>115</v>
      </c>
      <c r="K56" s="1" t="s">
        <v>33</v>
      </c>
      <c r="L56" s="12">
        <v>1</v>
      </c>
      <c r="M56" s="16">
        <v>79.989999999999995</v>
      </c>
      <c r="N56" s="1" t="s">
        <v>34</v>
      </c>
      <c r="O56" s="1" t="s">
        <v>21</v>
      </c>
      <c r="P56" s="1" t="str">
        <f>UPPER(LEFT(Table1[[#This Row],[Region]],2))</f>
        <v>CE</v>
      </c>
      <c r="Q56" s="1" t="s">
        <v>27</v>
      </c>
      <c r="R56" s="3">
        <v>45352</v>
      </c>
      <c r="S56" s="20">
        <v>79.989999999999995</v>
      </c>
      <c r="T56" s="23">
        <f t="shared" ca="1" si="0"/>
        <v>46057</v>
      </c>
      <c r="U56" s="26">
        <f t="shared" ca="1" si="1"/>
        <v>46057.595634259262</v>
      </c>
      <c r="V56" s="25">
        <f ca="1">DATEDIF(Table1[[#This Row],[Date]],TODAY(),"d")</f>
        <v>588</v>
      </c>
      <c r="W56" s="28">
        <f>EOMONTH(Table1[[#This Row],[Date]],0)</f>
        <v>45473</v>
      </c>
      <c r="X56" s="26">
        <f t="shared" ca="1" si="2"/>
        <v>46040.622929282406</v>
      </c>
    </row>
    <row r="57" spans="1:24" ht="15.75" thickBot="1" x14ac:dyDescent="0.3">
      <c r="A57" s="5" t="s">
        <v>174</v>
      </c>
      <c r="B57" s="3">
        <v>45469</v>
      </c>
      <c r="C57" s="12" t="str">
        <f>TEXT(Table1[[#This Row],[Date]],"mmm")</f>
        <v>Jun</v>
      </c>
      <c r="D57" s="12">
        <f>YEAR(Table1[[#This Row],[Date]])</f>
        <v>2024</v>
      </c>
      <c r="E57" s="3" t="str">
        <f>TEXT(Table1[[#This Row],[Date]],"mmm-yyyy")</f>
        <v>Jun-2024</v>
      </c>
      <c r="F57" s="1" t="s">
        <v>59</v>
      </c>
      <c r="G57" s="1" t="s">
        <v>60</v>
      </c>
      <c r="H57" s="1" t="str">
        <f>LEFT(Table1[[#This Row],[Customer_Name]],1)&amp;LEFT(MID(Table1[[#This Row],[Customer_Name]],FIND(" ",Table1[[#This Row],[Customer_Name]])+1,50),1)</f>
        <v>RT</v>
      </c>
      <c r="I57" s="1" t="s">
        <v>117</v>
      </c>
      <c r="J57" s="1" t="s">
        <v>118</v>
      </c>
      <c r="K57" s="1" t="s">
        <v>19</v>
      </c>
      <c r="L57" s="12">
        <v>2</v>
      </c>
      <c r="M57" s="16">
        <v>89.99</v>
      </c>
      <c r="N57" s="1" t="s">
        <v>20</v>
      </c>
      <c r="O57" s="1" t="s">
        <v>50</v>
      </c>
      <c r="P57" s="1" t="str">
        <f>UPPER(LEFT(Table1[[#This Row],[Region]],2))</f>
        <v>WE</v>
      </c>
      <c r="Q57" s="1" t="s">
        <v>22</v>
      </c>
      <c r="R57" s="3">
        <v>44438</v>
      </c>
      <c r="S57" s="20">
        <v>179.98</v>
      </c>
      <c r="T57" s="23">
        <f t="shared" ca="1" si="0"/>
        <v>46057</v>
      </c>
      <c r="U57" s="26">
        <f t="shared" ca="1" si="1"/>
        <v>46057.595634259262</v>
      </c>
      <c r="V57" s="25">
        <f ca="1">DATEDIF(Table1[[#This Row],[Date]],TODAY(),"d")</f>
        <v>588</v>
      </c>
      <c r="W57" s="28">
        <f>EOMONTH(Table1[[#This Row],[Date]],0)</f>
        <v>45473</v>
      </c>
      <c r="X57" s="26">
        <f t="shared" ca="1" si="2"/>
        <v>46040.622929282406</v>
      </c>
    </row>
    <row r="58" spans="1:24" ht="15.75" thickBot="1" x14ac:dyDescent="0.3">
      <c r="A58" s="5" t="s">
        <v>175</v>
      </c>
      <c r="B58" s="3">
        <v>45471</v>
      </c>
      <c r="C58" s="12" t="str">
        <f>TEXT(Table1[[#This Row],[Date]],"mmm")</f>
        <v>Jun</v>
      </c>
      <c r="D58" s="12">
        <f>YEAR(Table1[[#This Row],[Date]])</f>
        <v>2024</v>
      </c>
      <c r="E58" s="3" t="str">
        <f>TEXT(Table1[[#This Row],[Date]],"mmm-yyyy")</f>
        <v>Jun-2024</v>
      </c>
      <c r="F58" s="1" t="s">
        <v>38</v>
      </c>
      <c r="G58" s="1" t="s">
        <v>39</v>
      </c>
      <c r="H58" s="1" t="str">
        <f>LEFT(Table1[[#This Row],[Customer_Name]],1)&amp;LEFT(MID(Table1[[#This Row],[Customer_Name]],FIND(" ",Table1[[#This Row],[Customer_Name]])+1,50),1)</f>
        <v>KB</v>
      </c>
      <c r="I58" s="1" t="s">
        <v>80</v>
      </c>
      <c r="J58" s="1" t="s">
        <v>81</v>
      </c>
      <c r="K58" s="1" t="s">
        <v>19</v>
      </c>
      <c r="L58" s="12">
        <v>3</v>
      </c>
      <c r="M58" s="16">
        <v>699.99</v>
      </c>
      <c r="N58" s="1" t="s">
        <v>26</v>
      </c>
      <c r="O58" s="1" t="s">
        <v>63</v>
      </c>
      <c r="P58" s="1" t="str">
        <f>UPPER(LEFT(Table1[[#This Row],[Region]],2))</f>
        <v>EA</v>
      </c>
      <c r="Q58" s="1" t="s">
        <v>27</v>
      </c>
      <c r="R58" s="3">
        <v>45102</v>
      </c>
      <c r="S58" s="20">
        <v>2099.9699999999998</v>
      </c>
      <c r="T58" s="23">
        <f t="shared" ca="1" si="0"/>
        <v>46057</v>
      </c>
      <c r="U58" s="26">
        <f t="shared" ca="1" si="1"/>
        <v>46057.595634259262</v>
      </c>
      <c r="V58" s="25">
        <f ca="1">DATEDIF(Table1[[#This Row],[Date]],TODAY(),"d")</f>
        <v>586</v>
      </c>
      <c r="W58" s="28">
        <f>EOMONTH(Table1[[#This Row],[Date]],0)</f>
        <v>45473</v>
      </c>
      <c r="X58" s="26">
        <f t="shared" ca="1" si="2"/>
        <v>46040.622929282406</v>
      </c>
    </row>
    <row r="59" spans="1:24" ht="15.75" thickBot="1" x14ac:dyDescent="0.3">
      <c r="A59" s="5" t="s">
        <v>176</v>
      </c>
      <c r="B59" s="3">
        <v>45471</v>
      </c>
      <c r="C59" s="12" t="str">
        <f>TEXT(Table1[[#This Row],[Date]],"mmm")</f>
        <v>Jun</v>
      </c>
      <c r="D59" s="12">
        <f>YEAR(Table1[[#This Row],[Date]])</f>
        <v>2024</v>
      </c>
      <c r="E59" s="3" t="str">
        <f>TEXT(Table1[[#This Row],[Date]],"mmm-yyyy")</f>
        <v>Jun-2024</v>
      </c>
      <c r="F59" s="1" t="s">
        <v>99</v>
      </c>
      <c r="G59" s="1" t="s">
        <v>100</v>
      </c>
      <c r="H59" s="1" t="str">
        <f>LEFT(Table1[[#This Row],[Customer_Name]],1)&amp;LEFT(MID(Table1[[#This Row],[Customer_Name]],FIND(" ",Table1[[#This Row],[Customer_Name]])+1,50),1)</f>
        <v>PM</v>
      </c>
      <c r="I59" s="1" t="s">
        <v>61</v>
      </c>
      <c r="J59" s="1" t="s">
        <v>62</v>
      </c>
      <c r="K59" s="1" t="s">
        <v>19</v>
      </c>
      <c r="L59" s="12">
        <v>4</v>
      </c>
      <c r="M59" s="16">
        <v>899.99</v>
      </c>
      <c r="N59" s="1" t="s">
        <v>26</v>
      </c>
      <c r="O59" s="1" t="s">
        <v>63</v>
      </c>
      <c r="P59" s="1" t="str">
        <f>UPPER(LEFT(Table1[[#This Row],[Region]],2))</f>
        <v>EA</v>
      </c>
      <c r="Q59" s="1" t="s">
        <v>27</v>
      </c>
      <c r="R59" s="3">
        <v>44993</v>
      </c>
      <c r="S59" s="20">
        <v>3599.96</v>
      </c>
      <c r="T59" s="23">
        <f t="shared" ca="1" si="0"/>
        <v>46057</v>
      </c>
      <c r="U59" s="26">
        <f t="shared" ca="1" si="1"/>
        <v>46057.595634259262</v>
      </c>
      <c r="V59" s="25">
        <f ca="1">DATEDIF(Table1[[#This Row],[Date]],TODAY(),"d")</f>
        <v>586</v>
      </c>
      <c r="W59" s="28">
        <f>EOMONTH(Table1[[#This Row],[Date]],0)</f>
        <v>45473</v>
      </c>
      <c r="X59" s="26">
        <f t="shared" ca="1" si="2"/>
        <v>46040.622929282406</v>
      </c>
    </row>
    <row r="60" spans="1:24" ht="15.75" thickBot="1" x14ac:dyDescent="0.3">
      <c r="A60" s="5" t="s">
        <v>177</v>
      </c>
      <c r="B60" s="3">
        <v>45472</v>
      </c>
      <c r="C60" s="12" t="str">
        <f>TEXT(Table1[[#This Row],[Date]],"mmm")</f>
        <v>Jun</v>
      </c>
      <c r="D60" s="12">
        <f>YEAR(Table1[[#This Row],[Date]])</f>
        <v>2024</v>
      </c>
      <c r="E60" s="3" t="str">
        <f>TEXT(Table1[[#This Row],[Date]],"mmm-yyyy")</f>
        <v>Jun-2024</v>
      </c>
      <c r="F60" s="1" t="s">
        <v>120</v>
      </c>
      <c r="G60" s="1" t="s">
        <v>121</v>
      </c>
      <c r="H60" s="1" t="str">
        <f>LEFT(Table1[[#This Row],[Customer_Name]],1)&amp;LEFT(MID(Table1[[#This Row],[Customer_Name]],FIND(" ",Table1[[#This Row],[Customer_Name]])+1,50),1)</f>
        <v>HR</v>
      </c>
      <c r="I60" s="1" t="s">
        <v>44</v>
      </c>
      <c r="J60" s="1" t="s">
        <v>45</v>
      </c>
      <c r="K60" s="1" t="s">
        <v>46</v>
      </c>
      <c r="L60" s="12">
        <v>1</v>
      </c>
      <c r="M60" s="16">
        <v>149.99</v>
      </c>
      <c r="N60" s="1" t="s">
        <v>34</v>
      </c>
      <c r="O60" s="1" t="s">
        <v>63</v>
      </c>
      <c r="P60" s="1" t="str">
        <f>UPPER(LEFT(Table1[[#This Row],[Region]],2))</f>
        <v>EA</v>
      </c>
      <c r="Q60" s="1" t="s">
        <v>22</v>
      </c>
      <c r="R60" s="3">
        <v>44851</v>
      </c>
      <c r="S60" s="20">
        <v>149.99</v>
      </c>
      <c r="T60" s="23">
        <f t="shared" ca="1" si="0"/>
        <v>46057</v>
      </c>
      <c r="U60" s="26">
        <f t="shared" ca="1" si="1"/>
        <v>46057.595634259262</v>
      </c>
      <c r="V60" s="25">
        <f ca="1">DATEDIF(Table1[[#This Row],[Date]],TODAY(),"d")</f>
        <v>585</v>
      </c>
      <c r="W60" s="28">
        <f>EOMONTH(Table1[[#This Row],[Date]],0)</f>
        <v>45473</v>
      </c>
      <c r="X60" s="26">
        <f t="shared" ca="1" si="2"/>
        <v>46040.622929282406</v>
      </c>
    </row>
    <row r="61" spans="1:24" ht="15.75" thickBot="1" x14ac:dyDescent="0.3">
      <c r="A61" s="5" t="s">
        <v>178</v>
      </c>
      <c r="B61" s="3">
        <v>45474</v>
      </c>
      <c r="C61" s="12" t="str">
        <f>TEXT(Table1[[#This Row],[Date]],"mmm")</f>
        <v>Jul</v>
      </c>
      <c r="D61" s="12">
        <f>YEAR(Table1[[#This Row],[Date]])</f>
        <v>2024</v>
      </c>
      <c r="E61" s="3" t="str">
        <f>TEXT(Table1[[#This Row],[Date]],"mmm-yyyy")</f>
        <v>Jul-2024</v>
      </c>
      <c r="F61" s="1" t="s">
        <v>132</v>
      </c>
      <c r="G61" s="1" t="s">
        <v>133</v>
      </c>
      <c r="H61" s="1" t="str">
        <f>LEFT(Table1[[#This Row],[Customer_Name]],1)&amp;LEFT(MID(Table1[[#This Row],[Customer_Name]],FIND(" ",Table1[[#This Row],[Customer_Name]])+1,50),1)</f>
        <v>EW</v>
      </c>
      <c r="I61" s="1" t="s">
        <v>117</v>
      </c>
      <c r="J61" s="1" t="s">
        <v>118</v>
      </c>
      <c r="K61" s="1" t="s">
        <v>19</v>
      </c>
      <c r="L61" s="12">
        <v>2</v>
      </c>
      <c r="M61" s="16">
        <v>89.99</v>
      </c>
      <c r="N61" s="1" t="s">
        <v>34</v>
      </c>
      <c r="O61" s="1" t="s">
        <v>21</v>
      </c>
      <c r="P61" s="1" t="str">
        <f>UPPER(LEFT(Table1[[#This Row],[Region]],2))</f>
        <v>CE</v>
      </c>
      <c r="Q61" s="1" t="s">
        <v>27</v>
      </c>
      <c r="R61" s="3">
        <v>45275</v>
      </c>
      <c r="S61" s="20">
        <v>179.98</v>
      </c>
      <c r="T61" s="23">
        <f t="shared" ca="1" si="0"/>
        <v>46057</v>
      </c>
      <c r="U61" s="26">
        <f t="shared" ca="1" si="1"/>
        <v>46057.595634259262</v>
      </c>
      <c r="V61" s="25">
        <f ca="1">DATEDIF(Table1[[#This Row],[Date]],TODAY(),"d")</f>
        <v>583</v>
      </c>
      <c r="W61" s="28">
        <f>EOMONTH(Table1[[#This Row],[Date]],0)</f>
        <v>45504</v>
      </c>
      <c r="X61" s="26">
        <f t="shared" ca="1" si="2"/>
        <v>46040.622929282406</v>
      </c>
    </row>
    <row r="62" spans="1:24" ht="15.75" thickBot="1" x14ac:dyDescent="0.3">
      <c r="A62" s="5" t="s">
        <v>179</v>
      </c>
      <c r="B62" s="3">
        <v>45475</v>
      </c>
      <c r="C62" s="12" t="str">
        <f>TEXT(Table1[[#This Row],[Date]],"mmm")</f>
        <v>Jul</v>
      </c>
      <c r="D62" s="12">
        <f>YEAR(Table1[[#This Row],[Date]])</f>
        <v>2024</v>
      </c>
      <c r="E62" s="3" t="str">
        <f>TEXT(Table1[[#This Row],[Date]],"mmm-yyyy")</f>
        <v>Jul-2024</v>
      </c>
      <c r="F62" s="1" t="s">
        <v>55</v>
      </c>
      <c r="G62" s="1" t="s">
        <v>56</v>
      </c>
      <c r="H62" s="1" t="str">
        <f>LEFT(Table1[[#This Row],[Customer_Name]],1)&amp;LEFT(MID(Table1[[#This Row],[Customer_Name]],FIND(" ",Table1[[#This Row],[Customer_Name]])+1,50),1)</f>
        <v>CA</v>
      </c>
      <c r="I62" s="1" t="s">
        <v>117</v>
      </c>
      <c r="J62" s="1" t="s">
        <v>118</v>
      </c>
      <c r="K62" s="1" t="s">
        <v>19</v>
      </c>
      <c r="L62" s="12">
        <v>1</v>
      </c>
      <c r="M62" s="16">
        <v>89.99</v>
      </c>
      <c r="N62" s="1" t="s">
        <v>34</v>
      </c>
      <c r="O62" s="1" t="s">
        <v>50</v>
      </c>
      <c r="P62" s="1" t="str">
        <f>UPPER(LEFT(Table1[[#This Row],[Region]],2))</f>
        <v>WE</v>
      </c>
      <c r="Q62" s="1" t="s">
        <v>36</v>
      </c>
      <c r="R62" s="3">
        <v>44802</v>
      </c>
      <c r="S62" s="20">
        <v>89.99</v>
      </c>
      <c r="T62" s="23">
        <f t="shared" ca="1" si="0"/>
        <v>46057</v>
      </c>
      <c r="U62" s="26">
        <f t="shared" ca="1" si="1"/>
        <v>46057.595634259262</v>
      </c>
      <c r="V62" s="25">
        <f ca="1">DATEDIF(Table1[[#This Row],[Date]],TODAY(),"d")</f>
        <v>582</v>
      </c>
      <c r="W62" s="28">
        <f>EOMONTH(Table1[[#This Row],[Date]],0)</f>
        <v>45504</v>
      </c>
      <c r="X62" s="26">
        <f t="shared" ca="1" si="2"/>
        <v>46040.622929282406</v>
      </c>
    </row>
    <row r="63" spans="1:24" ht="15.75" thickBot="1" x14ac:dyDescent="0.3">
      <c r="A63" s="5" t="s">
        <v>180</v>
      </c>
      <c r="B63" s="3">
        <v>45476</v>
      </c>
      <c r="C63" s="12" t="str">
        <f>TEXT(Table1[[#This Row],[Date]],"mmm")</f>
        <v>Jul</v>
      </c>
      <c r="D63" s="12">
        <f>YEAR(Table1[[#This Row],[Date]])</f>
        <v>2024</v>
      </c>
      <c r="E63" s="3" t="str">
        <f>TEXT(Table1[[#This Row],[Date]],"mmm-yyyy")</f>
        <v>Jul-2024</v>
      </c>
      <c r="F63" s="1" t="s">
        <v>68</v>
      </c>
      <c r="G63" s="1" t="s">
        <v>69</v>
      </c>
      <c r="H63" s="1" t="str">
        <f>LEFT(Table1[[#This Row],[Customer_Name]],1)&amp;LEFT(MID(Table1[[#This Row],[Customer_Name]],FIND(" ",Table1[[#This Row],[Customer_Name]])+1,50),1)</f>
        <v>SG</v>
      </c>
      <c r="I63" s="1" t="s">
        <v>117</v>
      </c>
      <c r="J63" s="1" t="s">
        <v>118</v>
      </c>
      <c r="K63" s="1" t="s">
        <v>19</v>
      </c>
      <c r="L63" s="12">
        <v>1</v>
      </c>
      <c r="M63" s="16">
        <v>89.99</v>
      </c>
      <c r="N63" s="1" t="s">
        <v>20</v>
      </c>
      <c r="O63" s="1" t="s">
        <v>35</v>
      </c>
      <c r="P63" s="1" t="str">
        <f>UPPER(LEFT(Table1[[#This Row],[Region]],2))</f>
        <v>SO</v>
      </c>
      <c r="Q63" s="1" t="s">
        <v>36</v>
      </c>
      <c r="R63" s="3">
        <v>44611</v>
      </c>
      <c r="S63" s="20">
        <v>89.99</v>
      </c>
      <c r="T63" s="23">
        <f t="shared" ca="1" si="0"/>
        <v>46057</v>
      </c>
      <c r="U63" s="26">
        <f t="shared" ca="1" si="1"/>
        <v>46057.595634259262</v>
      </c>
      <c r="V63" s="25">
        <f ca="1">DATEDIF(Table1[[#This Row],[Date]],TODAY(),"d")</f>
        <v>581</v>
      </c>
      <c r="W63" s="28">
        <f>EOMONTH(Table1[[#This Row],[Date]],0)</f>
        <v>45504</v>
      </c>
      <c r="X63" s="26">
        <f t="shared" ca="1" si="2"/>
        <v>46040.622929282406</v>
      </c>
    </row>
    <row r="64" spans="1:24" ht="15.75" thickBot="1" x14ac:dyDescent="0.3">
      <c r="A64" s="5" t="s">
        <v>181</v>
      </c>
      <c r="B64" s="3">
        <v>45476</v>
      </c>
      <c r="C64" s="12" t="str">
        <f>TEXT(Table1[[#This Row],[Date]],"mmm")</f>
        <v>Jul</v>
      </c>
      <c r="D64" s="12">
        <f>YEAR(Table1[[#This Row],[Date]])</f>
        <v>2024</v>
      </c>
      <c r="E64" s="3" t="str">
        <f>TEXT(Table1[[#This Row],[Date]],"mmm-yyyy")</f>
        <v>Jul-2024</v>
      </c>
      <c r="F64" s="1" t="s">
        <v>182</v>
      </c>
      <c r="G64" s="1" t="s">
        <v>183</v>
      </c>
      <c r="H64" s="1" t="str">
        <f>LEFT(Table1[[#This Row],[Customer_Name]],1)&amp;LEFT(MID(Table1[[#This Row],[Customer_Name]],FIND(" ",Table1[[#This Row],[Customer_Name]])+1,50),1)</f>
        <v>DM</v>
      </c>
      <c r="I64" s="1" t="s">
        <v>114</v>
      </c>
      <c r="J64" s="1" t="s">
        <v>115</v>
      </c>
      <c r="K64" s="1" t="s">
        <v>33</v>
      </c>
      <c r="L64" s="12">
        <v>5</v>
      </c>
      <c r="M64" s="16">
        <v>79.989999999999995</v>
      </c>
      <c r="N64" s="1" t="s">
        <v>57</v>
      </c>
      <c r="O64" s="1" t="s">
        <v>21</v>
      </c>
      <c r="P64" s="1" t="str">
        <f>UPPER(LEFT(Table1[[#This Row],[Region]],2))</f>
        <v>CE</v>
      </c>
      <c r="Q64" s="1" t="s">
        <v>22</v>
      </c>
      <c r="R64" s="3">
        <v>44981</v>
      </c>
      <c r="S64" s="20">
        <v>399.95</v>
      </c>
      <c r="T64" s="23">
        <f t="shared" ca="1" si="0"/>
        <v>46057</v>
      </c>
      <c r="U64" s="26">
        <f t="shared" ca="1" si="1"/>
        <v>46057.595634259262</v>
      </c>
      <c r="V64" s="25">
        <f ca="1">DATEDIF(Table1[[#This Row],[Date]],TODAY(),"d")</f>
        <v>581</v>
      </c>
      <c r="W64" s="28">
        <f>EOMONTH(Table1[[#This Row],[Date]],0)</f>
        <v>45504</v>
      </c>
      <c r="X64" s="26">
        <f t="shared" ca="1" si="2"/>
        <v>46040.622929282406</v>
      </c>
    </row>
    <row r="65" spans="1:24" ht="15.75" thickBot="1" x14ac:dyDescent="0.3">
      <c r="A65" s="5" t="s">
        <v>184</v>
      </c>
      <c r="B65" s="3">
        <v>45481</v>
      </c>
      <c r="C65" s="12" t="str">
        <f>TEXT(Table1[[#This Row],[Date]],"mmm")</f>
        <v>Jul</v>
      </c>
      <c r="D65" s="12">
        <f>YEAR(Table1[[#This Row],[Date]])</f>
        <v>2024</v>
      </c>
      <c r="E65" s="3" t="str">
        <f>TEXT(Table1[[#This Row],[Date]],"mmm-yyyy")</f>
        <v>Jul-2024</v>
      </c>
      <c r="F65" s="1" t="s">
        <v>185</v>
      </c>
      <c r="G65" s="1" t="s">
        <v>186</v>
      </c>
      <c r="H65" s="1" t="str">
        <f>LEFT(Table1[[#This Row],[Customer_Name]],1)&amp;LEFT(MID(Table1[[#This Row],[Customer_Name]],FIND(" ",Table1[[#This Row],[Customer_Name]])+1,50),1)</f>
        <v>MW</v>
      </c>
      <c r="I65" s="1" t="s">
        <v>44</v>
      </c>
      <c r="J65" s="1" t="s">
        <v>45</v>
      </c>
      <c r="K65" s="1" t="s">
        <v>46</v>
      </c>
      <c r="L65" s="12">
        <v>1</v>
      </c>
      <c r="M65" s="16">
        <v>149.99</v>
      </c>
      <c r="N65" s="1" t="s">
        <v>34</v>
      </c>
      <c r="O65" s="1" t="s">
        <v>40</v>
      </c>
      <c r="P65" s="1" t="str">
        <f>UPPER(LEFT(Table1[[#This Row],[Region]],2))</f>
        <v>NO</v>
      </c>
      <c r="Q65" s="1" t="s">
        <v>22</v>
      </c>
      <c r="R65" s="3">
        <v>44421</v>
      </c>
      <c r="S65" s="20">
        <v>149.99</v>
      </c>
      <c r="T65" s="23">
        <f t="shared" ca="1" si="0"/>
        <v>46057</v>
      </c>
      <c r="U65" s="26">
        <f t="shared" ca="1" si="1"/>
        <v>46057.595634259262</v>
      </c>
      <c r="V65" s="25">
        <f ca="1">DATEDIF(Table1[[#This Row],[Date]],TODAY(),"d")</f>
        <v>576</v>
      </c>
      <c r="W65" s="28">
        <f>EOMONTH(Table1[[#This Row],[Date]],0)</f>
        <v>45504</v>
      </c>
      <c r="X65" s="26">
        <f t="shared" ca="1" si="2"/>
        <v>46040.622929282406</v>
      </c>
    </row>
    <row r="66" spans="1:24" ht="15.75" thickBot="1" x14ac:dyDescent="0.3">
      <c r="A66" s="5" t="s">
        <v>187</v>
      </c>
      <c r="B66" s="3">
        <v>45481</v>
      </c>
      <c r="C66" s="12" t="str">
        <f>TEXT(Table1[[#This Row],[Date]],"mmm")</f>
        <v>Jul</v>
      </c>
      <c r="D66" s="12">
        <f>YEAR(Table1[[#This Row],[Date]])</f>
        <v>2024</v>
      </c>
      <c r="E66" s="3" t="str">
        <f>TEXT(Table1[[#This Row],[Date]],"mmm-yyyy")</f>
        <v>Jul-2024</v>
      </c>
      <c r="F66" s="1" t="s">
        <v>42</v>
      </c>
      <c r="G66" s="1" t="s">
        <v>43</v>
      </c>
      <c r="H66" s="1" t="str">
        <f>LEFT(Table1[[#This Row],[Customer_Name]],1)&amp;LEFT(MID(Table1[[#This Row],[Customer_Name]],FIND(" ",Table1[[#This Row],[Customer_Name]])+1,50),1)</f>
        <v>MB</v>
      </c>
      <c r="I66" s="1" t="s">
        <v>80</v>
      </c>
      <c r="J66" s="1" t="s">
        <v>81</v>
      </c>
      <c r="K66" s="1" t="s">
        <v>19</v>
      </c>
      <c r="L66" s="12">
        <v>2</v>
      </c>
      <c r="M66" s="16">
        <v>699.99</v>
      </c>
      <c r="N66" s="1" t="s">
        <v>34</v>
      </c>
      <c r="O66" s="1" t="s">
        <v>63</v>
      </c>
      <c r="P66" s="1" t="str">
        <f>UPPER(LEFT(Table1[[#This Row],[Region]],2))</f>
        <v>EA</v>
      </c>
      <c r="Q66" s="1" t="s">
        <v>27</v>
      </c>
      <c r="R66" s="3">
        <v>45389</v>
      </c>
      <c r="S66" s="20">
        <v>1399.98</v>
      </c>
      <c r="T66" s="23">
        <f t="shared" ref="T66:T129" ca="1" si="3">TODAY()</f>
        <v>46057</v>
      </c>
      <c r="U66" s="26">
        <f t="shared" ref="U66:U129" ca="1" si="4">NOW()</f>
        <v>46057.595634259262</v>
      </c>
      <c r="V66" s="25">
        <f ca="1">DATEDIF(Table1[[#This Row],[Date]],TODAY(),"d")</f>
        <v>576</v>
      </c>
      <c r="W66" s="28">
        <f>EOMONTH(Table1[[#This Row],[Date]],0)</f>
        <v>45504</v>
      </c>
      <c r="X66" s="26">
        <f t="shared" ref="X66:X129" ca="1" si="5">IF($A66="", "", IF(X66=0, NOW(), X66))</f>
        <v>46040.622929282406</v>
      </c>
    </row>
    <row r="67" spans="1:24" ht="15.75" thickBot="1" x14ac:dyDescent="0.3">
      <c r="A67" s="5" t="s">
        <v>188</v>
      </c>
      <c r="B67" s="3">
        <v>45481</v>
      </c>
      <c r="C67" s="12" t="str">
        <f>TEXT(Table1[[#This Row],[Date]],"mmm")</f>
        <v>Jul</v>
      </c>
      <c r="D67" s="12">
        <f>YEAR(Table1[[#This Row],[Date]])</f>
        <v>2024</v>
      </c>
      <c r="E67" s="3" t="str">
        <f>TEXT(Table1[[#This Row],[Date]],"mmm-yyyy")</f>
        <v>Jul-2024</v>
      </c>
      <c r="F67" s="1" t="s">
        <v>96</v>
      </c>
      <c r="G67" s="1" t="s">
        <v>97</v>
      </c>
      <c r="H67" s="1" t="str">
        <f>LEFT(Table1[[#This Row],[Customer_Name]],1)&amp;LEFT(MID(Table1[[#This Row],[Customer_Name]],FIND(" ",Table1[[#This Row],[Customer_Name]])+1,50),1)</f>
        <v>BY</v>
      </c>
      <c r="I67" s="1" t="s">
        <v>117</v>
      </c>
      <c r="J67" s="1" t="s">
        <v>118</v>
      </c>
      <c r="K67" s="1" t="s">
        <v>19</v>
      </c>
      <c r="L67" s="12">
        <v>5</v>
      </c>
      <c r="M67" s="16">
        <v>89.99</v>
      </c>
      <c r="N67" s="1" t="s">
        <v>57</v>
      </c>
      <c r="O67" s="1" t="s">
        <v>40</v>
      </c>
      <c r="P67" s="1" t="str">
        <f>UPPER(LEFT(Table1[[#This Row],[Region]],2))</f>
        <v>NO</v>
      </c>
      <c r="Q67" s="1" t="s">
        <v>27</v>
      </c>
      <c r="R67" s="3">
        <v>45161</v>
      </c>
      <c r="S67" s="20">
        <v>449.95</v>
      </c>
      <c r="T67" s="23">
        <f t="shared" ca="1" si="3"/>
        <v>46057</v>
      </c>
      <c r="U67" s="26">
        <f t="shared" ca="1" si="4"/>
        <v>46057.595634259262</v>
      </c>
      <c r="V67" s="25">
        <f ca="1">DATEDIF(Table1[[#This Row],[Date]],TODAY(),"d")</f>
        <v>576</v>
      </c>
      <c r="W67" s="28">
        <f>EOMONTH(Table1[[#This Row],[Date]],0)</f>
        <v>45504</v>
      </c>
      <c r="X67" s="26">
        <f t="shared" ca="1" si="5"/>
        <v>46040.622929282406</v>
      </c>
    </row>
    <row r="68" spans="1:24" ht="15.75" thickBot="1" x14ac:dyDescent="0.3">
      <c r="A68" s="5" t="s">
        <v>189</v>
      </c>
      <c r="B68" s="3">
        <v>45482</v>
      </c>
      <c r="C68" s="12" t="str">
        <f>TEXT(Table1[[#This Row],[Date]],"mmm")</f>
        <v>Jul</v>
      </c>
      <c r="D68" s="12">
        <f>YEAR(Table1[[#This Row],[Date]])</f>
        <v>2024</v>
      </c>
      <c r="E68" s="3" t="str">
        <f>TEXT(Table1[[#This Row],[Date]],"mmm-yyyy")</f>
        <v>Jul-2024</v>
      </c>
      <c r="F68" s="1" t="s">
        <v>171</v>
      </c>
      <c r="G68" s="1" t="s">
        <v>172</v>
      </c>
      <c r="H68" s="1" t="str">
        <f>LEFT(Table1[[#This Row],[Customer_Name]],1)&amp;LEFT(MID(Table1[[#This Row],[Customer_Name]],FIND(" ",Table1[[#This Row],[Customer_Name]])+1,50),1)</f>
        <v>RR</v>
      </c>
      <c r="I68" s="1" t="s">
        <v>31</v>
      </c>
      <c r="J68" s="1" t="s">
        <v>32</v>
      </c>
      <c r="K68" s="1" t="s">
        <v>33</v>
      </c>
      <c r="L68" s="12">
        <v>4</v>
      </c>
      <c r="M68" s="16">
        <v>59.99</v>
      </c>
      <c r="N68" s="1" t="s">
        <v>20</v>
      </c>
      <c r="O68" s="1" t="s">
        <v>35</v>
      </c>
      <c r="P68" s="1" t="str">
        <f>UPPER(LEFT(Table1[[#This Row],[Region]],2))</f>
        <v>SO</v>
      </c>
      <c r="Q68" s="1" t="s">
        <v>36</v>
      </c>
      <c r="R68" s="3">
        <v>44509</v>
      </c>
      <c r="S68" s="20">
        <v>239.96</v>
      </c>
      <c r="T68" s="23">
        <f t="shared" ca="1" si="3"/>
        <v>46057</v>
      </c>
      <c r="U68" s="26">
        <f t="shared" ca="1" si="4"/>
        <v>46057.595634259262</v>
      </c>
      <c r="V68" s="25">
        <f ca="1">DATEDIF(Table1[[#This Row],[Date]],TODAY(),"d")</f>
        <v>575</v>
      </c>
      <c r="W68" s="28">
        <f>EOMONTH(Table1[[#This Row],[Date]],0)</f>
        <v>45504</v>
      </c>
      <c r="X68" s="26">
        <f t="shared" ca="1" si="5"/>
        <v>46040.622929282406</v>
      </c>
    </row>
    <row r="69" spans="1:24" ht="15.75" thickBot="1" x14ac:dyDescent="0.3">
      <c r="A69" s="5" t="s">
        <v>190</v>
      </c>
      <c r="B69" s="3">
        <v>45484</v>
      </c>
      <c r="C69" s="12" t="str">
        <f>TEXT(Table1[[#This Row],[Date]],"mmm")</f>
        <v>Jul</v>
      </c>
      <c r="D69" s="12">
        <f>YEAR(Table1[[#This Row],[Date]])</f>
        <v>2024</v>
      </c>
      <c r="E69" s="3" t="str">
        <f>TEXT(Table1[[#This Row],[Date]],"mmm-yyyy")</f>
        <v>Jul-2024</v>
      </c>
      <c r="F69" s="1" t="s">
        <v>24</v>
      </c>
      <c r="G69" s="1" t="s">
        <v>25</v>
      </c>
      <c r="H69" s="1" t="str">
        <f>LEFT(Table1[[#This Row],[Customer_Name]],1)&amp;LEFT(MID(Table1[[#This Row],[Customer_Name]],FIND(" ",Table1[[#This Row],[Customer_Name]])+1,50),1)</f>
        <v>JJ</v>
      </c>
      <c r="I69" s="1" t="s">
        <v>52</v>
      </c>
      <c r="J69" s="1" t="s">
        <v>53</v>
      </c>
      <c r="K69" s="1" t="s">
        <v>19</v>
      </c>
      <c r="L69" s="12">
        <v>1</v>
      </c>
      <c r="M69" s="16">
        <v>149.99</v>
      </c>
      <c r="N69" s="1" t="s">
        <v>20</v>
      </c>
      <c r="O69" s="1" t="s">
        <v>21</v>
      </c>
      <c r="P69" s="1" t="str">
        <f>UPPER(LEFT(Table1[[#This Row],[Region]],2))</f>
        <v>CE</v>
      </c>
      <c r="Q69" s="1" t="s">
        <v>36</v>
      </c>
      <c r="R69" s="3">
        <v>44909</v>
      </c>
      <c r="S69" s="20">
        <v>149.99</v>
      </c>
      <c r="T69" s="23">
        <f t="shared" ca="1" si="3"/>
        <v>46057</v>
      </c>
      <c r="U69" s="26">
        <f t="shared" ca="1" si="4"/>
        <v>46057.595634259262</v>
      </c>
      <c r="V69" s="25">
        <f ca="1">DATEDIF(Table1[[#This Row],[Date]],TODAY(),"d")</f>
        <v>573</v>
      </c>
      <c r="W69" s="28">
        <f>EOMONTH(Table1[[#This Row],[Date]],0)</f>
        <v>45504</v>
      </c>
      <c r="X69" s="26">
        <f t="shared" ca="1" si="5"/>
        <v>46040.622929282406</v>
      </c>
    </row>
    <row r="70" spans="1:24" ht="15.75" thickBot="1" x14ac:dyDescent="0.3">
      <c r="A70" s="5" t="s">
        <v>191</v>
      </c>
      <c r="B70" s="3">
        <v>45484</v>
      </c>
      <c r="C70" s="12" t="str">
        <f>TEXT(Table1[[#This Row],[Date]],"mmm")</f>
        <v>Jul</v>
      </c>
      <c r="D70" s="12">
        <f>YEAR(Table1[[#This Row],[Date]])</f>
        <v>2024</v>
      </c>
      <c r="E70" s="3" t="str">
        <f>TEXT(Table1[[#This Row],[Date]],"mmm-yyyy")</f>
        <v>Jul-2024</v>
      </c>
      <c r="F70" s="1" t="s">
        <v>192</v>
      </c>
      <c r="G70" s="1" t="s">
        <v>193</v>
      </c>
      <c r="H70" s="1" t="str">
        <f>LEFT(Table1[[#This Row],[Customer_Name]],1)&amp;LEFT(MID(Table1[[#This Row],[Customer_Name]],FIND(" ",Table1[[#This Row],[Customer_Name]])+1,50),1)</f>
        <v>FT</v>
      </c>
      <c r="I70" s="1" t="s">
        <v>105</v>
      </c>
      <c r="J70" s="1" t="s">
        <v>106</v>
      </c>
      <c r="K70" s="1" t="s">
        <v>46</v>
      </c>
      <c r="L70" s="12">
        <v>1</v>
      </c>
      <c r="M70" s="16">
        <v>299.99</v>
      </c>
      <c r="N70" s="1" t="s">
        <v>26</v>
      </c>
      <c r="O70" s="1" t="s">
        <v>40</v>
      </c>
      <c r="P70" s="1" t="str">
        <f>UPPER(LEFT(Table1[[#This Row],[Region]],2))</f>
        <v>NO</v>
      </c>
      <c r="Q70" s="1" t="s">
        <v>27</v>
      </c>
      <c r="R70" s="3">
        <v>44891</v>
      </c>
      <c r="S70" s="20">
        <v>299.99</v>
      </c>
      <c r="T70" s="23">
        <f t="shared" ca="1" si="3"/>
        <v>46057</v>
      </c>
      <c r="U70" s="26">
        <f t="shared" ca="1" si="4"/>
        <v>46057.595634259262</v>
      </c>
      <c r="V70" s="25">
        <f ca="1">DATEDIF(Table1[[#This Row],[Date]],TODAY(),"d")</f>
        <v>573</v>
      </c>
      <c r="W70" s="28">
        <f>EOMONTH(Table1[[#This Row],[Date]],0)</f>
        <v>45504</v>
      </c>
      <c r="X70" s="26">
        <f t="shared" ca="1" si="5"/>
        <v>46040.622929282406</v>
      </c>
    </row>
    <row r="71" spans="1:24" ht="15.75" thickBot="1" x14ac:dyDescent="0.3">
      <c r="A71" s="5" t="s">
        <v>194</v>
      </c>
      <c r="B71" s="3">
        <v>45487</v>
      </c>
      <c r="C71" s="12" t="str">
        <f>TEXT(Table1[[#This Row],[Date]],"mmm")</f>
        <v>Jul</v>
      </c>
      <c r="D71" s="12">
        <f>YEAR(Table1[[#This Row],[Date]])</f>
        <v>2024</v>
      </c>
      <c r="E71" s="3" t="str">
        <f>TEXT(Table1[[#This Row],[Date]],"mmm-yyyy")</f>
        <v>Jul-2024</v>
      </c>
      <c r="F71" s="1" t="s">
        <v>192</v>
      </c>
      <c r="G71" s="1" t="s">
        <v>193</v>
      </c>
      <c r="H71" s="1" t="str">
        <f>LEFT(Table1[[#This Row],[Customer_Name]],1)&amp;LEFT(MID(Table1[[#This Row],[Customer_Name]],FIND(" ",Table1[[#This Row],[Customer_Name]])+1,50),1)</f>
        <v>FT</v>
      </c>
      <c r="I71" s="1" t="s">
        <v>126</v>
      </c>
      <c r="J71" s="1" t="s">
        <v>127</v>
      </c>
      <c r="K71" s="1" t="s">
        <v>46</v>
      </c>
      <c r="L71" s="12">
        <v>2</v>
      </c>
      <c r="M71" s="16">
        <v>199.99</v>
      </c>
      <c r="N71" s="1" t="s">
        <v>20</v>
      </c>
      <c r="O71" s="1" t="s">
        <v>40</v>
      </c>
      <c r="P71" s="1" t="str">
        <f>UPPER(LEFT(Table1[[#This Row],[Region]],2))</f>
        <v>NO</v>
      </c>
      <c r="Q71" s="1" t="s">
        <v>22</v>
      </c>
      <c r="R71" s="3">
        <v>44541</v>
      </c>
      <c r="S71" s="20">
        <v>399.98</v>
      </c>
      <c r="T71" s="23">
        <f t="shared" ca="1" si="3"/>
        <v>46057</v>
      </c>
      <c r="U71" s="26">
        <f t="shared" ca="1" si="4"/>
        <v>46057.595634259262</v>
      </c>
      <c r="V71" s="25">
        <f ca="1">DATEDIF(Table1[[#This Row],[Date]],TODAY(),"d")</f>
        <v>570</v>
      </c>
      <c r="W71" s="28">
        <f>EOMONTH(Table1[[#This Row],[Date]],0)</f>
        <v>45504</v>
      </c>
      <c r="X71" s="26">
        <f t="shared" ca="1" si="5"/>
        <v>46040.622929282406</v>
      </c>
    </row>
    <row r="72" spans="1:24" ht="15.75" thickBot="1" x14ac:dyDescent="0.3">
      <c r="A72" s="5" t="s">
        <v>195</v>
      </c>
      <c r="B72" s="3">
        <v>45490</v>
      </c>
      <c r="C72" s="12" t="str">
        <f>TEXT(Table1[[#This Row],[Date]],"mmm")</f>
        <v>Jul</v>
      </c>
      <c r="D72" s="12">
        <f>YEAR(Table1[[#This Row],[Date]])</f>
        <v>2024</v>
      </c>
      <c r="E72" s="3" t="str">
        <f>TEXT(Table1[[#This Row],[Date]],"mmm-yyyy")</f>
        <v>Jul-2024</v>
      </c>
      <c r="F72" s="1" t="s">
        <v>196</v>
      </c>
      <c r="G72" s="1" t="s">
        <v>197</v>
      </c>
      <c r="H72" s="1" t="str">
        <f>LEFT(Table1[[#This Row],[Customer_Name]],1)&amp;LEFT(MID(Table1[[#This Row],[Customer_Name]],FIND(" ",Table1[[#This Row],[Customer_Name]])+1,50),1)</f>
        <v>GM</v>
      </c>
      <c r="I72" s="1" t="s">
        <v>31</v>
      </c>
      <c r="J72" s="1" t="s">
        <v>32</v>
      </c>
      <c r="K72" s="1" t="s">
        <v>33</v>
      </c>
      <c r="L72" s="12">
        <v>3</v>
      </c>
      <c r="M72" s="16">
        <v>59.99</v>
      </c>
      <c r="N72" s="1" t="s">
        <v>26</v>
      </c>
      <c r="O72" s="1" t="s">
        <v>50</v>
      </c>
      <c r="P72" s="1" t="str">
        <f>UPPER(LEFT(Table1[[#This Row],[Region]],2))</f>
        <v>WE</v>
      </c>
      <c r="Q72" s="1" t="s">
        <v>22</v>
      </c>
      <c r="R72" s="3">
        <v>45130</v>
      </c>
      <c r="S72" s="20">
        <v>179.97</v>
      </c>
      <c r="T72" s="23">
        <f t="shared" ca="1" si="3"/>
        <v>46057</v>
      </c>
      <c r="U72" s="26">
        <f t="shared" ca="1" si="4"/>
        <v>46057.595634259262</v>
      </c>
      <c r="V72" s="25">
        <f ca="1">DATEDIF(Table1[[#This Row],[Date]],TODAY(),"d")</f>
        <v>567</v>
      </c>
      <c r="W72" s="28">
        <f>EOMONTH(Table1[[#This Row],[Date]],0)</f>
        <v>45504</v>
      </c>
      <c r="X72" s="26">
        <f t="shared" ca="1" si="5"/>
        <v>46040.622929282406</v>
      </c>
    </row>
    <row r="73" spans="1:24" ht="15.75" thickBot="1" x14ac:dyDescent="0.3">
      <c r="A73" s="5" t="s">
        <v>198</v>
      </c>
      <c r="B73" s="3">
        <v>45490</v>
      </c>
      <c r="C73" s="12" t="str">
        <f>TEXT(Table1[[#This Row],[Date]],"mmm")</f>
        <v>Jul</v>
      </c>
      <c r="D73" s="12">
        <f>YEAR(Table1[[#This Row],[Date]])</f>
        <v>2024</v>
      </c>
      <c r="E73" s="3" t="str">
        <f>TEXT(Table1[[#This Row],[Date]],"mmm-yyyy")</f>
        <v>Jul-2024</v>
      </c>
      <c r="F73" s="1" t="s">
        <v>72</v>
      </c>
      <c r="G73" s="1" t="s">
        <v>73</v>
      </c>
      <c r="H73" s="1" t="str">
        <f>LEFT(Table1[[#This Row],[Customer_Name]],1)&amp;LEFT(MID(Table1[[#This Row],[Customer_Name]],FIND(" ",Table1[[#This Row],[Customer_Name]])+1,50),1)</f>
        <v>PR</v>
      </c>
      <c r="I73" s="1" t="s">
        <v>44</v>
      </c>
      <c r="J73" s="1" t="s">
        <v>45</v>
      </c>
      <c r="K73" s="1" t="s">
        <v>46</v>
      </c>
      <c r="L73" s="12">
        <v>3</v>
      </c>
      <c r="M73" s="16">
        <v>149.99</v>
      </c>
      <c r="N73" s="1" t="s">
        <v>20</v>
      </c>
      <c r="O73" s="1" t="s">
        <v>21</v>
      </c>
      <c r="P73" s="1" t="str">
        <f>UPPER(LEFT(Table1[[#This Row],[Region]],2))</f>
        <v>CE</v>
      </c>
      <c r="Q73" s="1" t="s">
        <v>27</v>
      </c>
      <c r="R73" s="3">
        <v>45199</v>
      </c>
      <c r="S73" s="20">
        <v>449.97</v>
      </c>
      <c r="T73" s="23">
        <f t="shared" ca="1" si="3"/>
        <v>46057</v>
      </c>
      <c r="U73" s="26">
        <f t="shared" ca="1" si="4"/>
        <v>46057.595634259262</v>
      </c>
      <c r="V73" s="25">
        <f ca="1">DATEDIF(Table1[[#This Row],[Date]],TODAY(),"d")</f>
        <v>567</v>
      </c>
      <c r="W73" s="28">
        <f>EOMONTH(Table1[[#This Row],[Date]],0)</f>
        <v>45504</v>
      </c>
      <c r="X73" s="26">
        <f t="shared" ca="1" si="5"/>
        <v>46040.622929282406</v>
      </c>
    </row>
    <row r="74" spans="1:24" ht="15.75" thickBot="1" x14ac:dyDescent="0.3">
      <c r="A74" s="5" t="s">
        <v>199</v>
      </c>
      <c r="B74" s="3">
        <v>45491</v>
      </c>
      <c r="C74" s="12" t="str">
        <f>TEXT(Table1[[#This Row],[Date]],"mmm")</f>
        <v>Jul</v>
      </c>
      <c r="D74" s="12">
        <f>YEAR(Table1[[#This Row],[Date]])</f>
        <v>2024</v>
      </c>
      <c r="E74" s="3" t="str">
        <f>TEXT(Table1[[#This Row],[Date]],"mmm-yyyy")</f>
        <v>Jul-2024</v>
      </c>
      <c r="F74" s="1" t="s">
        <v>65</v>
      </c>
      <c r="G74" s="1" t="s">
        <v>66</v>
      </c>
      <c r="H74" s="1" t="str">
        <f>LEFT(Table1[[#This Row],[Customer_Name]],1)&amp;LEFT(MID(Table1[[#This Row],[Customer_Name]],FIND(" ",Table1[[#This Row],[Customer_Name]])+1,50),1)</f>
        <v>KH</v>
      </c>
      <c r="I74" s="1" t="s">
        <v>126</v>
      </c>
      <c r="J74" s="1" t="s">
        <v>127</v>
      </c>
      <c r="K74" s="1" t="s">
        <v>46</v>
      </c>
      <c r="L74" s="12">
        <v>3</v>
      </c>
      <c r="M74" s="16">
        <v>199.99</v>
      </c>
      <c r="N74" s="1" t="s">
        <v>20</v>
      </c>
      <c r="O74" s="1" t="s">
        <v>40</v>
      </c>
      <c r="P74" s="1" t="str">
        <f>UPPER(LEFT(Table1[[#This Row],[Region]],2))</f>
        <v>NO</v>
      </c>
      <c r="Q74" s="1" t="s">
        <v>27</v>
      </c>
      <c r="R74" s="3">
        <v>45254</v>
      </c>
      <c r="S74" s="20">
        <v>599.97</v>
      </c>
      <c r="T74" s="23">
        <f t="shared" ca="1" si="3"/>
        <v>46057</v>
      </c>
      <c r="U74" s="26">
        <f t="shared" ca="1" si="4"/>
        <v>46057.595634259262</v>
      </c>
      <c r="V74" s="25">
        <f ca="1">DATEDIF(Table1[[#This Row],[Date]],TODAY(),"d")</f>
        <v>566</v>
      </c>
      <c r="W74" s="28">
        <f>EOMONTH(Table1[[#This Row],[Date]],0)</f>
        <v>45504</v>
      </c>
      <c r="X74" s="26">
        <f t="shared" ca="1" si="5"/>
        <v>46040.622929282406</v>
      </c>
    </row>
    <row r="75" spans="1:24" ht="15.75" thickBot="1" x14ac:dyDescent="0.3">
      <c r="A75" s="5" t="s">
        <v>200</v>
      </c>
      <c r="B75" s="3">
        <v>45496</v>
      </c>
      <c r="C75" s="12" t="str">
        <f>TEXT(Table1[[#This Row],[Date]],"mmm")</f>
        <v>Jul</v>
      </c>
      <c r="D75" s="12">
        <f>YEAR(Table1[[#This Row],[Date]])</f>
        <v>2024</v>
      </c>
      <c r="E75" s="3" t="str">
        <f>TEXT(Table1[[#This Row],[Date]],"mmm-yyyy")</f>
        <v>Jul-2024</v>
      </c>
      <c r="F75" s="1" t="s">
        <v>150</v>
      </c>
      <c r="G75" s="1" t="s">
        <v>151</v>
      </c>
      <c r="H75" s="1" t="str">
        <f>LEFT(Table1[[#This Row],[Customer_Name]],1)&amp;LEFT(MID(Table1[[#This Row],[Customer_Name]],FIND(" ",Table1[[#This Row],[Customer_Name]])+1,50),1)</f>
        <v>SB</v>
      </c>
      <c r="I75" s="1" t="s">
        <v>61</v>
      </c>
      <c r="J75" s="1" t="s">
        <v>62</v>
      </c>
      <c r="K75" s="1" t="s">
        <v>19</v>
      </c>
      <c r="L75" s="12">
        <v>1</v>
      </c>
      <c r="M75" s="16">
        <v>899.99</v>
      </c>
      <c r="N75" s="1" t="s">
        <v>20</v>
      </c>
      <c r="O75" s="1" t="s">
        <v>21</v>
      </c>
      <c r="P75" s="1" t="str">
        <f>UPPER(LEFT(Table1[[#This Row],[Region]],2))</f>
        <v>CE</v>
      </c>
      <c r="Q75" s="1" t="s">
        <v>36</v>
      </c>
      <c r="R75" s="3">
        <v>45179</v>
      </c>
      <c r="S75" s="20">
        <v>899.99</v>
      </c>
      <c r="T75" s="23">
        <f t="shared" ca="1" si="3"/>
        <v>46057</v>
      </c>
      <c r="U75" s="26">
        <f t="shared" ca="1" si="4"/>
        <v>46057.595634259262</v>
      </c>
      <c r="V75" s="25">
        <f ca="1">DATEDIF(Table1[[#This Row],[Date]],TODAY(),"d")</f>
        <v>561</v>
      </c>
      <c r="W75" s="28">
        <f>EOMONTH(Table1[[#This Row],[Date]],0)</f>
        <v>45504</v>
      </c>
      <c r="X75" s="26">
        <f t="shared" ca="1" si="5"/>
        <v>46040.622929282406</v>
      </c>
    </row>
    <row r="76" spans="1:24" ht="15.75" thickBot="1" x14ac:dyDescent="0.3">
      <c r="A76" s="5" t="s">
        <v>201</v>
      </c>
      <c r="B76" s="3">
        <v>45497</v>
      </c>
      <c r="C76" s="12" t="str">
        <f>TEXT(Table1[[#This Row],[Date]],"mmm")</f>
        <v>Jul</v>
      </c>
      <c r="D76" s="12">
        <f>YEAR(Table1[[#This Row],[Date]])</f>
        <v>2024</v>
      </c>
      <c r="E76" s="3" t="str">
        <f>TEXT(Table1[[#This Row],[Date]],"mmm-yyyy")</f>
        <v>Jul-2024</v>
      </c>
      <c r="F76" s="1" t="s">
        <v>24</v>
      </c>
      <c r="G76" s="1" t="s">
        <v>25</v>
      </c>
      <c r="H76" s="1" t="str">
        <f>LEFT(Table1[[#This Row],[Customer_Name]],1)&amp;LEFT(MID(Table1[[#This Row],[Customer_Name]],FIND(" ",Table1[[#This Row],[Customer_Name]])+1,50),1)</f>
        <v>JJ</v>
      </c>
      <c r="I76" s="1" t="s">
        <v>61</v>
      </c>
      <c r="J76" s="1" t="s">
        <v>62</v>
      </c>
      <c r="K76" s="1" t="s">
        <v>19</v>
      </c>
      <c r="L76" s="12">
        <v>5</v>
      </c>
      <c r="M76" s="16">
        <v>899.99</v>
      </c>
      <c r="N76" s="1" t="s">
        <v>57</v>
      </c>
      <c r="O76" s="1" t="s">
        <v>35</v>
      </c>
      <c r="P76" s="1" t="str">
        <f>UPPER(LEFT(Table1[[#This Row],[Region]],2))</f>
        <v>SO</v>
      </c>
      <c r="Q76" s="1" t="s">
        <v>36</v>
      </c>
      <c r="R76" s="3">
        <v>44899</v>
      </c>
      <c r="S76" s="20">
        <v>4499.95</v>
      </c>
      <c r="T76" s="23">
        <f t="shared" ca="1" si="3"/>
        <v>46057</v>
      </c>
      <c r="U76" s="26">
        <f t="shared" ca="1" si="4"/>
        <v>46057.595634259262</v>
      </c>
      <c r="V76" s="25">
        <f ca="1">DATEDIF(Table1[[#This Row],[Date]],TODAY(),"d")</f>
        <v>560</v>
      </c>
      <c r="W76" s="28">
        <f>EOMONTH(Table1[[#This Row],[Date]],0)</f>
        <v>45504</v>
      </c>
      <c r="X76" s="26">
        <f t="shared" ca="1" si="5"/>
        <v>46040.622929282406</v>
      </c>
    </row>
    <row r="77" spans="1:24" ht="15.75" thickBot="1" x14ac:dyDescent="0.3">
      <c r="A77" s="5" t="s">
        <v>202</v>
      </c>
      <c r="B77" s="3">
        <v>45498</v>
      </c>
      <c r="C77" s="12" t="str">
        <f>TEXT(Table1[[#This Row],[Date]],"mmm")</f>
        <v>Jul</v>
      </c>
      <c r="D77" s="12">
        <f>YEAR(Table1[[#This Row],[Date]])</f>
        <v>2024</v>
      </c>
      <c r="E77" s="3" t="str">
        <f>TEXT(Table1[[#This Row],[Date]],"mmm-yyyy")</f>
        <v>Jul-2024</v>
      </c>
      <c r="F77" s="1" t="s">
        <v>182</v>
      </c>
      <c r="G77" s="1" t="s">
        <v>183</v>
      </c>
      <c r="H77" s="1" t="str">
        <f>LEFT(Table1[[#This Row],[Customer_Name]],1)&amp;LEFT(MID(Table1[[#This Row],[Customer_Name]],FIND(" ",Table1[[#This Row],[Customer_Name]])+1,50),1)</f>
        <v>DM</v>
      </c>
      <c r="I77" s="1" t="s">
        <v>31</v>
      </c>
      <c r="J77" s="1" t="s">
        <v>32</v>
      </c>
      <c r="K77" s="1" t="s">
        <v>33</v>
      </c>
      <c r="L77" s="12">
        <v>2</v>
      </c>
      <c r="M77" s="16">
        <v>59.99</v>
      </c>
      <c r="N77" s="1" t="s">
        <v>20</v>
      </c>
      <c r="O77" s="1" t="s">
        <v>40</v>
      </c>
      <c r="P77" s="1" t="str">
        <f>UPPER(LEFT(Table1[[#This Row],[Region]],2))</f>
        <v>NO</v>
      </c>
      <c r="Q77" s="1" t="s">
        <v>36</v>
      </c>
      <c r="R77" s="3">
        <v>45152</v>
      </c>
      <c r="S77" s="20">
        <v>119.98</v>
      </c>
      <c r="T77" s="23">
        <f t="shared" ca="1" si="3"/>
        <v>46057</v>
      </c>
      <c r="U77" s="26">
        <f t="shared" ca="1" si="4"/>
        <v>46057.595634259262</v>
      </c>
      <c r="V77" s="25">
        <f ca="1">DATEDIF(Table1[[#This Row],[Date]],TODAY(),"d")</f>
        <v>559</v>
      </c>
      <c r="W77" s="28">
        <f>EOMONTH(Table1[[#This Row],[Date]],0)</f>
        <v>45504</v>
      </c>
      <c r="X77" s="26">
        <f t="shared" ca="1" si="5"/>
        <v>46040.622929282406</v>
      </c>
    </row>
    <row r="78" spans="1:24" ht="15.75" thickBot="1" x14ac:dyDescent="0.3">
      <c r="A78" s="5" t="s">
        <v>203</v>
      </c>
      <c r="B78" s="3">
        <v>45498</v>
      </c>
      <c r="C78" s="12" t="str">
        <f>TEXT(Table1[[#This Row],[Date]],"mmm")</f>
        <v>Jul</v>
      </c>
      <c r="D78" s="12">
        <f>YEAR(Table1[[#This Row],[Date]])</f>
        <v>2024</v>
      </c>
      <c r="E78" s="3" t="str">
        <f>TEXT(Table1[[#This Row],[Date]],"mmm-yyyy")</f>
        <v>Jul-2024</v>
      </c>
      <c r="F78" s="1" t="s">
        <v>196</v>
      </c>
      <c r="G78" s="1" t="s">
        <v>197</v>
      </c>
      <c r="H78" s="1" t="str">
        <f>LEFT(Table1[[#This Row],[Customer_Name]],1)&amp;LEFT(MID(Table1[[#This Row],[Customer_Name]],FIND(" ",Table1[[#This Row],[Customer_Name]])+1,50),1)</f>
        <v>GM</v>
      </c>
      <c r="I78" s="1" t="s">
        <v>17</v>
      </c>
      <c r="J78" s="1" t="s">
        <v>18</v>
      </c>
      <c r="K78" s="1" t="s">
        <v>19</v>
      </c>
      <c r="L78" s="12">
        <v>4</v>
      </c>
      <c r="M78" s="16">
        <v>249.99</v>
      </c>
      <c r="N78" s="1" t="s">
        <v>57</v>
      </c>
      <c r="O78" s="1" t="s">
        <v>21</v>
      </c>
      <c r="P78" s="1" t="str">
        <f>UPPER(LEFT(Table1[[#This Row],[Region]],2))</f>
        <v>CE</v>
      </c>
      <c r="Q78" s="1" t="s">
        <v>36</v>
      </c>
      <c r="R78" s="3">
        <v>45127</v>
      </c>
      <c r="S78" s="20">
        <v>999.96</v>
      </c>
      <c r="T78" s="23">
        <f t="shared" ca="1" si="3"/>
        <v>46057</v>
      </c>
      <c r="U78" s="26">
        <f t="shared" ca="1" si="4"/>
        <v>46057.595634259262</v>
      </c>
      <c r="V78" s="25">
        <f ca="1">DATEDIF(Table1[[#This Row],[Date]],TODAY(),"d")</f>
        <v>559</v>
      </c>
      <c r="W78" s="28">
        <f>EOMONTH(Table1[[#This Row],[Date]],0)</f>
        <v>45504</v>
      </c>
      <c r="X78" s="26">
        <f t="shared" ca="1" si="5"/>
        <v>46040.622929282406</v>
      </c>
    </row>
    <row r="79" spans="1:24" ht="15.75" thickBot="1" x14ac:dyDescent="0.3">
      <c r="A79" s="5" t="s">
        <v>204</v>
      </c>
      <c r="B79" s="3">
        <v>45500</v>
      </c>
      <c r="C79" s="12" t="str">
        <f>TEXT(Table1[[#This Row],[Date]],"mmm")</f>
        <v>Jul</v>
      </c>
      <c r="D79" s="12">
        <f>YEAR(Table1[[#This Row],[Date]])</f>
        <v>2024</v>
      </c>
      <c r="E79" s="3" t="str">
        <f>TEXT(Table1[[#This Row],[Date]],"mmm-yyyy")</f>
        <v>Jul-2024</v>
      </c>
      <c r="F79" s="1" t="s">
        <v>96</v>
      </c>
      <c r="G79" s="1" t="s">
        <v>97</v>
      </c>
      <c r="H79" s="1" t="str">
        <f>LEFT(Table1[[#This Row],[Customer_Name]],1)&amp;LEFT(MID(Table1[[#This Row],[Customer_Name]],FIND(" ",Table1[[#This Row],[Customer_Name]])+1,50),1)</f>
        <v>BY</v>
      </c>
      <c r="I79" s="1" t="s">
        <v>17</v>
      </c>
      <c r="J79" s="1" t="s">
        <v>18</v>
      </c>
      <c r="K79" s="1" t="s">
        <v>19</v>
      </c>
      <c r="L79" s="12">
        <v>2</v>
      </c>
      <c r="M79" s="16">
        <v>249.99</v>
      </c>
      <c r="N79" s="1" t="s">
        <v>20</v>
      </c>
      <c r="O79" s="1" t="s">
        <v>40</v>
      </c>
      <c r="P79" s="1" t="str">
        <f>UPPER(LEFT(Table1[[#This Row],[Region]],2))</f>
        <v>NO</v>
      </c>
      <c r="Q79" s="1" t="s">
        <v>27</v>
      </c>
      <c r="R79" s="3">
        <v>45164</v>
      </c>
      <c r="S79" s="20">
        <v>499.98</v>
      </c>
      <c r="T79" s="23">
        <f t="shared" ca="1" si="3"/>
        <v>46057</v>
      </c>
      <c r="U79" s="26">
        <f t="shared" ca="1" si="4"/>
        <v>46057.595634259262</v>
      </c>
      <c r="V79" s="25">
        <f ca="1">DATEDIF(Table1[[#This Row],[Date]],TODAY(),"d")</f>
        <v>557</v>
      </c>
      <c r="W79" s="28">
        <f>EOMONTH(Table1[[#This Row],[Date]],0)</f>
        <v>45504</v>
      </c>
      <c r="X79" s="26">
        <f t="shared" ca="1" si="5"/>
        <v>46040.622929282406</v>
      </c>
    </row>
    <row r="80" spans="1:24" ht="15.75" thickBot="1" x14ac:dyDescent="0.3">
      <c r="A80" s="5" t="s">
        <v>205</v>
      </c>
      <c r="B80" s="3">
        <v>45500</v>
      </c>
      <c r="C80" s="12" t="str">
        <f>TEXT(Table1[[#This Row],[Date]],"mmm")</f>
        <v>Jul</v>
      </c>
      <c r="D80" s="12">
        <f>YEAR(Table1[[#This Row],[Date]])</f>
        <v>2024</v>
      </c>
      <c r="E80" s="3" t="str">
        <f>TEXT(Table1[[#This Row],[Date]],"mmm-yyyy")</f>
        <v>Jul-2024</v>
      </c>
      <c r="F80" s="1" t="s">
        <v>147</v>
      </c>
      <c r="G80" s="1" t="s">
        <v>148</v>
      </c>
      <c r="H80" s="1" t="str">
        <f>LEFT(Table1[[#This Row],[Customer_Name]],1)&amp;LEFT(MID(Table1[[#This Row],[Customer_Name]],FIND(" ",Table1[[#This Row],[Customer_Name]])+1,50),1)</f>
        <v>DK</v>
      </c>
      <c r="I80" s="1" t="s">
        <v>105</v>
      </c>
      <c r="J80" s="1" t="s">
        <v>106</v>
      </c>
      <c r="K80" s="1" t="s">
        <v>46</v>
      </c>
      <c r="L80" s="12">
        <v>1</v>
      </c>
      <c r="M80" s="16">
        <v>299.99</v>
      </c>
      <c r="N80" s="1" t="s">
        <v>20</v>
      </c>
      <c r="O80" s="1" t="s">
        <v>35</v>
      </c>
      <c r="P80" s="1" t="str">
        <f>UPPER(LEFT(Table1[[#This Row],[Region]],2))</f>
        <v>SO</v>
      </c>
      <c r="Q80" s="1" t="s">
        <v>22</v>
      </c>
      <c r="R80" s="3">
        <v>44982</v>
      </c>
      <c r="S80" s="20">
        <v>299.99</v>
      </c>
      <c r="T80" s="23">
        <f t="shared" ca="1" si="3"/>
        <v>46057</v>
      </c>
      <c r="U80" s="26">
        <f t="shared" ca="1" si="4"/>
        <v>46057.595634259262</v>
      </c>
      <c r="V80" s="25">
        <f ca="1">DATEDIF(Table1[[#This Row],[Date]],TODAY(),"d")</f>
        <v>557</v>
      </c>
      <c r="W80" s="28">
        <f>EOMONTH(Table1[[#This Row],[Date]],0)</f>
        <v>45504</v>
      </c>
      <c r="X80" s="26">
        <f t="shared" ca="1" si="5"/>
        <v>46040.622929282406</v>
      </c>
    </row>
    <row r="81" spans="1:24" ht="15.75" thickBot="1" x14ac:dyDescent="0.3">
      <c r="A81" s="5" t="s">
        <v>206</v>
      </c>
      <c r="B81" s="3">
        <v>45501</v>
      </c>
      <c r="C81" s="12" t="str">
        <f>TEXT(Table1[[#This Row],[Date]],"mmm")</f>
        <v>Jul</v>
      </c>
      <c r="D81" s="12">
        <f>YEAR(Table1[[#This Row],[Date]])</f>
        <v>2024</v>
      </c>
      <c r="E81" s="3" t="str">
        <f>TEXT(Table1[[#This Row],[Date]],"mmm-yyyy")</f>
        <v>Jul-2024</v>
      </c>
      <c r="F81" s="1" t="s">
        <v>86</v>
      </c>
      <c r="G81" s="1" t="s">
        <v>87</v>
      </c>
      <c r="H81" s="1" t="str">
        <f>LEFT(Table1[[#This Row],[Customer_Name]],1)&amp;LEFT(MID(Table1[[#This Row],[Customer_Name]],FIND(" ",Table1[[#This Row],[Customer_Name]])+1,50),1)</f>
        <v>MC</v>
      </c>
      <c r="I81" s="1" t="s">
        <v>117</v>
      </c>
      <c r="J81" s="1" t="s">
        <v>118</v>
      </c>
      <c r="K81" s="1" t="s">
        <v>19</v>
      </c>
      <c r="L81" s="12">
        <v>2</v>
      </c>
      <c r="M81" s="16">
        <v>89.99</v>
      </c>
      <c r="N81" s="1" t="s">
        <v>34</v>
      </c>
      <c r="O81" s="1" t="s">
        <v>35</v>
      </c>
      <c r="P81" s="1" t="str">
        <f>UPPER(LEFT(Table1[[#This Row],[Region]],2))</f>
        <v>SO</v>
      </c>
      <c r="Q81" s="1" t="s">
        <v>22</v>
      </c>
      <c r="R81" s="3">
        <v>44976</v>
      </c>
      <c r="S81" s="20">
        <v>179.98</v>
      </c>
      <c r="T81" s="23">
        <f t="shared" ca="1" si="3"/>
        <v>46057</v>
      </c>
      <c r="U81" s="26">
        <f t="shared" ca="1" si="4"/>
        <v>46057.595634259262</v>
      </c>
      <c r="V81" s="25">
        <f ca="1">DATEDIF(Table1[[#This Row],[Date]],TODAY(),"d")</f>
        <v>556</v>
      </c>
      <c r="W81" s="28">
        <f>EOMONTH(Table1[[#This Row],[Date]],0)</f>
        <v>45504</v>
      </c>
      <c r="X81" s="26">
        <f t="shared" ca="1" si="5"/>
        <v>46040.622929282406</v>
      </c>
    </row>
    <row r="82" spans="1:24" ht="15.75" thickBot="1" x14ac:dyDescent="0.3">
      <c r="A82" s="5" t="s">
        <v>207</v>
      </c>
      <c r="B82" s="3">
        <v>45501</v>
      </c>
      <c r="C82" s="12" t="str">
        <f>TEXT(Table1[[#This Row],[Date]],"mmm")</f>
        <v>Jul</v>
      </c>
      <c r="D82" s="12">
        <f>YEAR(Table1[[#This Row],[Date]])</f>
        <v>2024</v>
      </c>
      <c r="E82" s="3" t="str">
        <f>TEXT(Table1[[#This Row],[Date]],"mmm-yyyy")</f>
        <v>Jul-2024</v>
      </c>
      <c r="F82" s="1" t="s">
        <v>147</v>
      </c>
      <c r="G82" s="1" t="s">
        <v>148</v>
      </c>
      <c r="H82" s="1" t="str">
        <f>LEFT(Table1[[#This Row],[Customer_Name]],1)&amp;LEFT(MID(Table1[[#This Row],[Customer_Name]],FIND(" ",Table1[[#This Row],[Customer_Name]])+1,50),1)</f>
        <v>DK</v>
      </c>
      <c r="I82" s="1" t="s">
        <v>105</v>
      </c>
      <c r="J82" s="1" t="s">
        <v>106</v>
      </c>
      <c r="K82" s="1" t="s">
        <v>46</v>
      </c>
      <c r="L82" s="12">
        <v>3</v>
      </c>
      <c r="M82" s="16">
        <v>299.99</v>
      </c>
      <c r="N82" s="1" t="s">
        <v>20</v>
      </c>
      <c r="O82" s="1" t="s">
        <v>21</v>
      </c>
      <c r="P82" s="1" t="str">
        <f>UPPER(LEFT(Table1[[#This Row],[Region]],2))</f>
        <v>CE</v>
      </c>
      <c r="Q82" s="1" t="s">
        <v>22</v>
      </c>
      <c r="R82" s="3">
        <v>44732</v>
      </c>
      <c r="S82" s="20">
        <v>899.97</v>
      </c>
      <c r="T82" s="23">
        <f t="shared" ca="1" si="3"/>
        <v>46057</v>
      </c>
      <c r="U82" s="26">
        <f t="shared" ca="1" si="4"/>
        <v>46057.595634259262</v>
      </c>
      <c r="V82" s="25">
        <f ca="1">DATEDIF(Table1[[#This Row],[Date]],TODAY(),"d")</f>
        <v>556</v>
      </c>
      <c r="W82" s="28">
        <f>EOMONTH(Table1[[#This Row],[Date]],0)</f>
        <v>45504</v>
      </c>
      <c r="X82" s="26">
        <f t="shared" ca="1" si="5"/>
        <v>46040.622929282406</v>
      </c>
    </row>
    <row r="83" spans="1:24" ht="15.75" thickBot="1" x14ac:dyDescent="0.3">
      <c r="A83" s="5" t="s">
        <v>208</v>
      </c>
      <c r="B83" s="3">
        <v>45503</v>
      </c>
      <c r="C83" s="12" t="str">
        <f>TEXT(Table1[[#This Row],[Date]],"mmm")</f>
        <v>Jul</v>
      </c>
      <c r="D83" s="12">
        <f>YEAR(Table1[[#This Row],[Date]])</f>
        <v>2024</v>
      </c>
      <c r="E83" s="3" t="str">
        <f>TEXT(Table1[[#This Row],[Date]],"mmm-yyyy")</f>
        <v>Jul-2024</v>
      </c>
      <c r="F83" s="1" t="s">
        <v>86</v>
      </c>
      <c r="G83" s="1" t="s">
        <v>87</v>
      </c>
      <c r="H83" s="1" t="str">
        <f>LEFT(Table1[[#This Row],[Customer_Name]],1)&amp;LEFT(MID(Table1[[#This Row],[Customer_Name]],FIND(" ",Table1[[#This Row],[Customer_Name]])+1,50),1)</f>
        <v>MC</v>
      </c>
      <c r="I83" s="1" t="s">
        <v>80</v>
      </c>
      <c r="J83" s="1" t="s">
        <v>81</v>
      </c>
      <c r="K83" s="1" t="s">
        <v>19</v>
      </c>
      <c r="L83" s="12">
        <v>2</v>
      </c>
      <c r="M83" s="16">
        <v>699.99</v>
      </c>
      <c r="N83" s="1" t="s">
        <v>26</v>
      </c>
      <c r="O83" s="1" t="s">
        <v>40</v>
      </c>
      <c r="P83" s="1" t="str">
        <f>UPPER(LEFT(Table1[[#This Row],[Region]],2))</f>
        <v>NO</v>
      </c>
      <c r="Q83" s="1" t="s">
        <v>27</v>
      </c>
      <c r="R83" s="3">
        <v>44999</v>
      </c>
      <c r="S83" s="20">
        <v>1399.98</v>
      </c>
      <c r="T83" s="23">
        <f t="shared" ca="1" si="3"/>
        <v>46057</v>
      </c>
      <c r="U83" s="26">
        <f t="shared" ca="1" si="4"/>
        <v>46057.595634259262</v>
      </c>
      <c r="V83" s="25">
        <f ca="1">DATEDIF(Table1[[#This Row],[Date]],TODAY(),"d")</f>
        <v>554</v>
      </c>
      <c r="W83" s="28">
        <f>EOMONTH(Table1[[#This Row],[Date]],0)</f>
        <v>45504</v>
      </c>
      <c r="X83" s="26">
        <f t="shared" ca="1" si="5"/>
        <v>46040.622929282406</v>
      </c>
    </row>
    <row r="84" spans="1:24" ht="15.75" thickBot="1" x14ac:dyDescent="0.3">
      <c r="A84" s="5" t="s">
        <v>209</v>
      </c>
      <c r="B84" s="3">
        <v>45504</v>
      </c>
      <c r="C84" s="12" t="str">
        <f>TEXT(Table1[[#This Row],[Date]],"mmm")</f>
        <v>Jul</v>
      </c>
      <c r="D84" s="12">
        <f>YEAR(Table1[[#This Row],[Date]])</f>
        <v>2024</v>
      </c>
      <c r="E84" s="3" t="str">
        <f>TEXT(Table1[[#This Row],[Date]],"mmm-yyyy")</f>
        <v>Jul-2024</v>
      </c>
      <c r="F84" s="1" t="s">
        <v>120</v>
      </c>
      <c r="G84" s="1" t="s">
        <v>121</v>
      </c>
      <c r="H84" s="1" t="str">
        <f>LEFT(Table1[[#This Row],[Customer_Name]],1)&amp;LEFT(MID(Table1[[#This Row],[Customer_Name]],FIND(" ",Table1[[#This Row],[Customer_Name]])+1,50),1)</f>
        <v>HR</v>
      </c>
      <c r="I84" s="1" t="s">
        <v>61</v>
      </c>
      <c r="J84" s="1" t="s">
        <v>62</v>
      </c>
      <c r="K84" s="1" t="s">
        <v>19</v>
      </c>
      <c r="L84" s="12">
        <v>4</v>
      </c>
      <c r="M84" s="16">
        <v>899.99</v>
      </c>
      <c r="N84" s="1" t="s">
        <v>57</v>
      </c>
      <c r="O84" s="1" t="s">
        <v>35</v>
      </c>
      <c r="P84" s="1" t="str">
        <f>UPPER(LEFT(Table1[[#This Row],[Region]],2))</f>
        <v>SO</v>
      </c>
      <c r="Q84" s="1" t="s">
        <v>36</v>
      </c>
      <c r="R84" s="3">
        <v>44523</v>
      </c>
      <c r="S84" s="20">
        <v>3599.96</v>
      </c>
      <c r="T84" s="23">
        <f t="shared" ca="1" si="3"/>
        <v>46057</v>
      </c>
      <c r="U84" s="26">
        <f t="shared" ca="1" si="4"/>
        <v>46057.595634259262</v>
      </c>
      <c r="V84" s="25">
        <f ca="1">DATEDIF(Table1[[#This Row],[Date]],TODAY(),"d")</f>
        <v>553</v>
      </c>
      <c r="W84" s="28">
        <f>EOMONTH(Table1[[#This Row],[Date]],0)</f>
        <v>45504</v>
      </c>
      <c r="X84" s="26">
        <f t="shared" ca="1" si="5"/>
        <v>46040.622929282406</v>
      </c>
    </row>
    <row r="85" spans="1:24" ht="15.75" thickBot="1" x14ac:dyDescent="0.3">
      <c r="A85" s="5" t="s">
        <v>210</v>
      </c>
      <c r="B85" s="3">
        <v>45509</v>
      </c>
      <c r="C85" s="12" t="str">
        <f>TEXT(Table1[[#This Row],[Date]],"mmm")</f>
        <v>Aug</v>
      </c>
      <c r="D85" s="12">
        <f>YEAR(Table1[[#This Row],[Date]])</f>
        <v>2024</v>
      </c>
      <c r="E85" s="3" t="str">
        <f>TEXT(Table1[[#This Row],[Date]],"mmm-yyyy")</f>
        <v>Aug-2024</v>
      </c>
      <c r="F85" s="1" t="s">
        <v>211</v>
      </c>
      <c r="G85" s="1" t="s">
        <v>212</v>
      </c>
      <c r="H85" s="1" t="str">
        <f>LEFT(Table1[[#This Row],[Customer_Name]],1)&amp;LEFT(MID(Table1[[#This Row],[Customer_Name]],FIND(" ",Table1[[#This Row],[Customer_Name]])+1,50),1)</f>
        <v>EH</v>
      </c>
      <c r="I85" s="1" t="s">
        <v>44</v>
      </c>
      <c r="J85" s="1" t="s">
        <v>45</v>
      </c>
      <c r="K85" s="1" t="s">
        <v>46</v>
      </c>
      <c r="L85" s="12">
        <v>2</v>
      </c>
      <c r="M85" s="16">
        <v>149.99</v>
      </c>
      <c r="N85" s="1" t="s">
        <v>26</v>
      </c>
      <c r="O85" s="1" t="s">
        <v>50</v>
      </c>
      <c r="P85" s="1" t="str">
        <f>UPPER(LEFT(Table1[[#This Row],[Region]],2))</f>
        <v>WE</v>
      </c>
      <c r="Q85" s="1" t="s">
        <v>22</v>
      </c>
      <c r="R85" s="3">
        <v>44542</v>
      </c>
      <c r="S85" s="20">
        <v>299.98</v>
      </c>
      <c r="T85" s="23">
        <f t="shared" ca="1" si="3"/>
        <v>46057</v>
      </c>
      <c r="U85" s="26">
        <f t="shared" ca="1" si="4"/>
        <v>46057.595634259262</v>
      </c>
      <c r="V85" s="25">
        <f ca="1">DATEDIF(Table1[[#This Row],[Date]],TODAY(),"d")</f>
        <v>548</v>
      </c>
      <c r="W85" s="28">
        <f>EOMONTH(Table1[[#This Row],[Date]],0)</f>
        <v>45535</v>
      </c>
      <c r="X85" s="26">
        <f t="shared" ca="1" si="5"/>
        <v>46040.622929282406</v>
      </c>
    </row>
    <row r="86" spans="1:24" ht="15.75" thickBot="1" x14ac:dyDescent="0.3">
      <c r="A86" s="5" t="s">
        <v>213</v>
      </c>
      <c r="B86" s="3">
        <v>45510</v>
      </c>
      <c r="C86" s="12" t="str">
        <f>TEXT(Table1[[#This Row],[Date]],"mmm")</f>
        <v>Aug</v>
      </c>
      <c r="D86" s="12">
        <f>YEAR(Table1[[#This Row],[Date]])</f>
        <v>2024</v>
      </c>
      <c r="E86" s="3" t="str">
        <f>TEXT(Table1[[#This Row],[Date]],"mmm-yyyy")</f>
        <v>Aug-2024</v>
      </c>
      <c r="F86" s="1" t="s">
        <v>102</v>
      </c>
      <c r="G86" s="1" t="s">
        <v>103</v>
      </c>
      <c r="H86" s="1" t="str">
        <f>LEFT(Table1[[#This Row],[Customer_Name]],1)&amp;LEFT(MID(Table1[[#This Row],[Customer_Name]],FIND(" ",Table1[[#This Row],[Customer_Name]])+1,50),1)</f>
        <v>CP</v>
      </c>
      <c r="I86" s="1" t="s">
        <v>44</v>
      </c>
      <c r="J86" s="1" t="s">
        <v>45</v>
      </c>
      <c r="K86" s="1" t="s">
        <v>46</v>
      </c>
      <c r="L86" s="12">
        <v>2</v>
      </c>
      <c r="M86" s="16">
        <v>149.99</v>
      </c>
      <c r="N86" s="1" t="s">
        <v>57</v>
      </c>
      <c r="O86" s="1" t="s">
        <v>63</v>
      </c>
      <c r="P86" s="1" t="str">
        <f>UPPER(LEFT(Table1[[#This Row],[Region]],2))</f>
        <v>EA</v>
      </c>
      <c r="Q86" s="1" t="s">
        <v>36</v>
      </c>
      <c r="R86" s="3">
        <v>44667</v>
      </c>
      <c r="S86" s="20">
        <v>299.98</v>
      </c>
      <c r="T86" s="23">
        <f t="shared" ca="1" si="3"/>
        <v>46057</v>
      </c>
      <c r="U86" s="26">
        <f t="shared" ca="1" si="4"/>
        <v>46057.595634259262</v>
      </c>
      <c r="V86" s="25">
        <f ca="1">DATEDIF(Table1[[#This Row],[Date]],TODAY(),"d")</f>
        <v>547</v>
      </c>
      <c r="W86" s="28">
        <f>EOMONTH(Table1[[#This Row],[Date]],0)</f>
        <v>45535</v>
      </c>
      <c r="X86" s="26">
        <f t="shared" ca="1" si="5"/>
        <v>46040.622929282406</v>
      </c>
    </row>
    <row r="87" spans="1:24" ht="15.75" thickBot="1" x14ac:dyDescent="0.3">
      <c r="A87" s="5" t="s">
        <v>214</v>
      </c>
      <c r="B87" s="3">
        <v>45513</v>
      </c>
      <c r="C87" s="12" t="str">
        <f>TEXT(Table1[[#This Row],[Date]],"mmm")</f>
        <v>Aug</v>
      </c>
      <c r="D87" s="12">
        <f>YEAR(Table1[[#This Row],[Date]])</f>
        <v>2024</v>
      </c>
      <c r="E87" s="3" t="str">
        <f>TEXT(Table1[[#This Row],[Date]],"mmm-yyyy")</f>
        <v>Aug-2024</v>
      </c>
      <c r="F87" s="1" t="s">
        <v>89</v>
      </c>
      <c r="G87" s="1" t="s">
        <v>90</v>
      </c>
      <c r="H87" s="1" t="str">
        <f>LEFT(Table1[[#This Row],[Customer_Name]],1)&amp;LEFT(MID(Table1[[#This Row],[Customer_Name]],FIND(" ",Table1[[#This Row],[Customer_Name]])+1,50),1)</f>
        <v>MG</v>
      </c>
      <c r="I87" s="1" t="s">
        <v>117</v>
      </c>
      <c r="J87" s="1" t="s">
        <v>118</v>
      </c>
      <c r="K87" s="1" t="s">
        <v>19</v>
      </c>
      <c r="L87" s="12">
        <v>1</v>
      </c>
      <c r="M87" s="16">
        <v>89.99</v>
      </c>
      <c r="N87" s="1" t="s">
        <v>26</v>
      </c>
      <c r="O87" s="1" t="s">
        <v>40</v>
      </c>
      <c r="P87" s="1" t="str">
        <f>UPPER(LEFT(Table1[[#This Row],[Region]],2))</f>
        <v>NO</v>
      </c>
      <c r="Q87" s="1" t="s">
        <v>36</v>
      </c>
      <c r="R87" s="3">
        <v>45393</v>
      </c>
      <c r="S87" s="20">
        <v>89.99</v>
      </c>
      <c r="T87" s="23">
        <f t="shared" ca="1" si="3"/>
        <v>46057</v>
      </c>
      <c r="U87" s="26">
        <f t="shared" ca="1" si="4"/>
        <v>46057.595634259262</v>
      </c>
      <c r="V87" s="25">
        <f ca="1">DATEDIF(Table1[[#This Row],[Date]],TODAY(),"d")</f>
        <v>544</v>
      </c>
      <c r="W87" s="28">
        <f>EOMONTH(Table1[[#This Row],[Date]],0)</f>
        <v>45535</v>
      </c>
      <c r="X87" s="26">
        <f t="shared" ca="1" si="5"/>
        <v>46040.622929282406</v>
      </c>
    </row>
    <row r="88" spans="1:24" ht="15.75" thickBot="1" x14ac:dyDescent="0.3">
      <c r="A88" s="5" t="s">
        <v>215</v>
      </c>
      <c r="B88" s="3">
        <v>45515</v>
      </c>
      <c r="C88" s="12" t="str">
        <f>TEXT(Table1[[#This Row],[Date]],"mmm")</f>
        <v>Aug</v>
      </c>
      <c r="D88" s="12">
        <f>YEAR(Table1[[#This Row],[Date]])</f>
        <v>2024</v>
      </c>
      <c r="E88" s="3" t="str">
        <f>TEXT(Table1[[#This Row],[Date]],"mmm-yyyy")</f>
        <v>Aug-2024</v>
      </c>
      <c r="F88" s="1" t="s">
        <v>86</v>
      </c>
      <c r="G88" s="1" t="s">
        <v>87</v>
      </c>
      <c r="H88" s="1" t="str">
        <f>LEFT(Table1[[#This Row],[Customer_Name]],1)&amp;LEFT(MID(Table1[[#This Row],[Customer_Name]],FIND(" ",Table1[[#This Row],[Customer_Name]])+1,50),1)</f>
        <v>MC</v>
      </c>
      <c r="I88" s="1" t="s">
        <v>105</v>
      </c>
      <c r="J88" s="1" t="s">
        <v>106</v>
      </c>
      <c r="K88" s="1" t="s">
        <v>46</v>
      </c>
      <c r="L88" s="12">
        <v>5</v>
      </c>
      <c r="M88" s="16">
        <v>299.99</v>
      </c>
      <c r="N88" s="1" t="s">
        <v>26</v>
      </c>
      <c r="O88" s="1" t="s">
        <v>40</v>
      </c>
      <c r="P88" s="1" t="str">
        <f>UPPER(LEFT(Table1[[#This Row],[Region]],2))</f>
        <v>NO</v>
      </c>
      <c r="Q88" s="1" t="s">
        <v>22</v>
      </c>
      <c r="R88" s="3">
        <v>44965</v>
      </c>
      <c r="S88" s="20">
        <v>1499.95</v>
      </c>
      <c r="T88" s="23">
        <f t="shared" ca="1" si="3"/>
        <v>46057</v>
      </c>
      <c r="U88" s="26">
        <f t="shared" ca="1" si="4"/>
        <v>46057.595634259262</v>
      </c>
      <c r="V88" s="25">
        <f ca="1">DATEDIF(Table1[[#This Row],[Date]],TODAY(),"d")</f>
        <v>542</v>
      </c>
      <c r="W88" s="28">
        <f>EOMONTH(Table1[[#This Row],[Date]],0)</f>
        <v>45535</v>
      </c>
      <c r="X88" s="26">
        <f t="shared" ca="1" si="5"/>
        <v>46040.622929282406</v>
      </c>
    </row>
    <row r="89" spans="1:24" ht="15.75" thickBot="1" x14ac:dyDescent="0.3">
      <c r="A89" s="5" t="s">
        <v>216</v>
      </c>
      <c r="B89" s="3">
        <v>45517</v>
      </c>
      <c r="C89" s="12" t="str">
        <f>TEXT(Table1[[#This Row],[Date]],"mmm")</f>
        <v>Aug</v>
      </c>
      <c r="D89" s="12">
        <f>YEAR(Table1[[#This Row],[Date]])</f>
        <v>2024</v>
      </c>
      <c r="E89" s="3" t="str">
        <f>TEXT(Table1[[#This Row],[Date]],"mmm-yyyy")</f>
        <v>Aug-2024</v>
      </c>
      <c r="F89" s="1" t="s">
        <v>182</v>
      </c>
      <c r="G89" s="1" t="s">
        <v>183</v>
      </c>
      <c r="H89" s="1" t="str">
        <f>LEFT(Table1[[#This Row],[Customer_Name]],1)&amp;LEFT(MID(Table1[[#This Row],[Customer_Name]],FIND(" ",Table1[[#This Row],[Customer_Name]])+1,50),1)</f>
        <v>DM</v>
      </c>
      <c r="I89" s="1" t="s">
        <v>52</v>
      </c>
      <c r="J89" s="1" t="s">
        <v>53</v>
      </c>
      <c r="K89" s="1" t="s">
        <v>19</v>
      </c>
      <c r="L89" s="12">
        <v>4</v>
      </c>
      <c r="M89" s="16">
        <v>149.99</v>
      </c>
      <c r="N89" s="1" t="s">
        <v>57</v>
      </c>
      <c r="O89" s="1" t="s">
        <v>35</v>
      </c>
      <c r="P89" s="1" t="str">
        <f>UPPER(LEFT(Table1[[#This Row],[Region]],2))</f>
        <v>SO</v>
      </c>
      <c r="Q89" s="1" t="s">
        <v>27</v>
      </c>
      <c r="R89" s="3">
        <v>44820</v>
      </c>
      <c r="S89" s="20">
        <v>599.96</v>
      </c>
      <c r="T89" s="23">
        <f t="shared" ca="1" si="3"/>
        <v>46057</v>
      </c>
      <c r="U89" s="26">
        <f t="shared" ca="1" si="4"/>
        <v>46057.595634259262</v>
      </c>
      <c r="V89" s="25">
        <f ca="1">DATEDIF(Table1[[#This Row],[Date]],TODAY(),"d")</f>
        <v>540</v>
      </c>
      <c r="W89" s="28">
        <f>EOMONTH(Table1[[#This Row],[Date]],0)</f>
        <v>45535</v>
      </c>
      <c r="X89" s="26">
        <f t="shared" ca="1" si="5"/>
        <v>46040.622929282406</v>
      </c>
    </row>
    <row r="90" spans="1:24" ht="15.75" thickBot="1" x14ac:dyDescent="0.3">
      <c r="A90" s="5" t="s">
        <v>217</v>
      </c>
      <c r="B90" s="3">
        <v>45517</v>
      </c>
      <c r="C90" s="12" t="str">
        <f>TEXT(Table1[[#This Row],[Date]],"mmm")</f>
        <v>Aug</v>
      </c>
      <c r="D90" s="12">
        <f>YEAR(Table1[[#This Row],[Date]])</f>
        <v>2024</v>
      </c>
      <c r="E90" s="3" t="str">
        <f>TEXT(Table1[[#This Row],[Date]],"mmm-yyyy")</f>
        <v>Aug-2024</v>
      </c>
      <c r="F90" s="1" t="s">
        <v>185</v>
      </c>
      <c r="G90" s="1" t="s">
        <v>186</v>
      </c>
      <c r="H90" s="1" t="str">
        <f>LEFT(Table1[[#This Row],[Customer_Name]],1)&amp;LEFT(MID(Table1[[#This Row],[Customer_Name]],FIND(" ",Table1[[#This Row],[Customer_Name]])+1,50),1)</f>
        <v>MW</v>
      </c>
      <c r="I90" s="1" t="s">
        <v>17</v>
      </c>
      <c r="J90" s="1" t="s">
        <v>18</v>
      </c>
      <c r="K90" s="1" t="s">
        <v>19</v>
      </c>
      <c r="L90" s="12">
        <v>5</v>
      </c>
      <c r="M90" s="16">
        <v>249.99</v>
      </c>
      <c r="N90" s="1" t="s">
        <v>34</v>
      </c>
      <c r="O90" s="1" t="s">
        <v>63</v>
      </c>
      <c r="P90" s="1" t="str">
        <f>UPPER(LEFT(Table1[[#This Row],[Region]],2))</f>
        <v>EA</v>
      </c>
      <c r="Q90" s="1" t="s">
        <v>27</v>
      </c>
      <c r="R90" s="3">
        <v>44782</v>
      </c>
      <c r="S90" s="20">
        <v>1249.95</v>
      </c>
      <c r="T90" s="23">
        <f t="shared" ca="1" si="3"/>
        <v>46057</v>
      </c>
      <c r="U90" s="26">
        <f t="shared" ca="1" si="4"/>
        <v>46057.595634259262</v>
      </c>
      <c r="V90" s="25">
        <f ca="1">DATEDIF(Table1[[#This Row],[Date]],TODAY(),"d")</f>
        <v>540</v>
      </c>
      <c r="W90" s="28">
        <f>EOMONTH(Table1[[#This Row],[Date]],0)</f>
        <v>45535</v>
      </c>
      <c r="X90" s="26">
        <f t="shared" ca="1" si="5"/>
        <v>46040.622929282406</v>
      </c>
    </row>
    <row r="91" spans="1:24" ht="15.75" thickBot="1" x14ac:dyDescent="0.3">
      <c r="A91" s="5" t="s">
        <v>218</v>
      </c>
      <c r="B91" s="3">
        <v>45517</v>
      </c>
      <c r="C91" s="12" t="str">
        <f>TEXT(Table1[[#This Row],[Date]],"mmm")</f>
        <v>Aug</v>
      </c>
      <c r="D91" s="12">
        <f>YEAR(Table1[[#This Row],[Date]])</f>
        <v>2024</v>
      </c>
      <c r="E91" s="3" t="str">
        <f>TEXT(Table1[[#This Row],[Date]],"mmm-yyyy")</f>
        <v>Aug-2024</v>
      </c>
      <c r="F91" s="1" t="s">
        <v>65</v>
      </c>
      <c r="G91" s="1" t="s">
        <v>66</v>
      </c>
      <c r="H91" s="1" t="str">
        <f>LEFT(Table1[[#This Row],[Customer_Name]],1)&amp;LEFT(MID(Table1[[#This Row],[Customer_Name]],FIND(" ",Table1[[#This Row],[Customer_Name]])+1,50),1)</f>
        <v>KH</v>
      </c>
      <c r="I91" s="1" t="s">
        <v>17</v>
      </c>
      <c r="J91" s="1" t="s">
        <v>18</v>
      </c>
      <c r="K91" s="1" t="s">
        <v>19</v>
      </c>
      <c r="L91" s="12">
        <v>3</v>
      </c>
      <c r="M91" s="16">
        <v>249.99</v>
      </c>
      <c r="N91" s="1" t="s">
        <v>34</v>
      </c>
      <c r="O91" s="1" t="s">
        <v>40</v>
      </c>
      <c r="P91" s="1" t="str">
        <f>UPPER(LEFT(Table1[[#This Row],[Region]],2))</f>
        <v>NO</v>
      </c>
      <c r="Q91" s="1" t="s">
        <v>27</v>
      </c>
      <c r="R91" s="3">
        <v>44465</v>
      </c>
      <c r="S91" s="20">
        <v>749.97</v>
      </c>
      <c r="T91" s="23">
        <f t="shared" ca="1" si="3"/>
        <v>46057</v>
      </c>
      <c r="U91" s="26">
        <f t="shared" ca="1" si="4"/>
        <v>46057.595634259262</v>
      </c>
      <c r="V91" s="25">
        <f ca="1">DATEDIF(Table1[[#This Row],[Date]],TODAY(),"d")</f>
        <v>540</v>
      </c>
      <c r="W91" s="28">
        <f>EOMONTH(Table1[[#This Row],[Date]],0)</f>
        <v>45535</v>
      </c>
      <c r="X91" s="26">
        <f t="shared" ca="1" si="5"/>
        <v>46040.622929282406</v>
      </c>
    </row>
    <row r="92" spans="1:24" ht="15.75" thickBot="1" x14ac:dyDescent="0.3">
      <c r="A92" s="5" t="s">
        <v>219</v>
      </c>
      <c r="B92" s="3">
        <v>45517</v>
      </c>
      <c r="C92" s="12" t="str">
        <f>TEXT(Table1[[#This Row],[Date]],"mmm")</f>
        <v>Aug</v>
      </c>
      <c r="D92" s="12">
        <f>YEAR(Table1[[#This Row],[Date]])</f>
        <v>2024</v>
      </c>
      <c r="E92" s="3" t="str">
        <f>TEXT(Table1[[#This Row],[Date]],"mmm-yyyy")</f>
        <v>Aug-2024</v>
      </c>
      <c r="F92" s="1" t="s">
        <v>38</v>
      </c>
      <c r="G92" s="1" t="s">
        <v>39</v>
      </c>
      <c r="H92" s="1" t="str">
        <f>LEFT(Table1[[#This Row],[Customer_Name]],1)&amp;LEFT(MID(Table1[[#This Row],[Customer_Name]],FIND(" ",Table1[[#This Row],[Customer_Name]])+1,50),1)</f>
        <v>KB</v>
      </c>
      <c r="I92" s="1" t="s">
        <v>126</v>
      </c>
      <c r="J92" s="1" t="s">
        <v>127</v>
      </c>
      <c r="K92" s="1" t="s">
        <v>46</v>
      </c>
      <c r="L92" s="12">
        <v>4</v>
      </c>
      <c r="M92" s="16">
        <v>199.99</v>
      </c>
      <c r="N92" s="1" t="s">
        <v>20</v>
      </c>
      <c r="O92" s="1" t="s">
        <v>40</v>
      </c>
      <c r="P92" s="1" t="str">
        <f>UPPER(LEFT(Table1[[#This Row],[Region]],2))</f>
        <v>NO</v>
      </c>
      <c r="Q92" s="1" t="s">
        <v>36</v>
      </c>
      <c r="R92" s="3">
        <v>44458</v>
      </c>
      <c r="S92" s="20">
        <v>799.96</v>
      </c>
      <c r="T92" s="23">
        <f t="shared" ca="1" si="3"/>
        <v>46057</v>
      </c>
      <c r="U92" s="26">
        <f t="shared" ca="1" si="4"/>
        <v>46057.595634259262</v>
      </c>
      <c r="V92" s="25">
        <f ca="1">DATEDIF(Table1[[#This Row],[Date]],TODAY(),"d")</f>
        <v>540</v>
      </c>
      <c r="W92" s="28">
        <f>EOMONTH(Table1[[#This Row],[Date]],0)</f>
        <v>45535</v>
      </c>
      <c r="X92" s="26">
        <f t="shared" ca="1" si="5"/>
        <v>46040.622929282406</v>
      </c>
    </row>
    <row r="93" spans="1:24" ht="15.75" thickBot="1" x14ac:dyDescent="0.3">
      <c r="A93" s="5" t="s">
        <v>220</v>
      </c>
      <c r="B93" s="3">
        <v>45519</v>
      </c>
      <c r="C93" s="12" t="str">
        <f>TEXT(Table1[[#This Row],[Date]],"mmm")</f>
        <v>Aug</v>
      </c>
      <c r="D93" s="12">
        <f>YEAR(Table1[[#This Row],[Date]])</f>
        <v>2024</v>
      </c>
      <c r="E93" s="3" t="str">
        <f>TEXT(Table1[[#This Row],[Date]],"mmm-yyyy")</f>
        <v>Aug-2024</v>
      </c>
      <c r="F93" s="1" t="s">
        <v>158</v>
      </c>
      <c r="G93" s="1" t="s">
        <v>159</v>
      </c>
      <c r="H93" s="1" t="str">
        <f>LEFT(Table1[[#This Row],[Customer_Name]],1)&amp;LEFT(MID(Table1[[#This Row],[Customer_Name]],FIND(" ",Table1[[#This Row],[Customer_Name]])+1,50),1)</f>
        <v>BC</v>
      </c>
      <c r="I93" s="1" t="s">
        <v>126</v>
      </c>
      <c r="J93" s="1" t="s">
        <v>127</v>
      </c>
      <c r="K93" s="1" t="s">
        <v>46</v>
      </c>
      <c r="L93" s="12">
        <v>5</v>
      </c>
      <c r="M93" s="16">
        <v>199.99</v>
      </c>
      <c r="N93" s="1" t="s">
        <v>20</v>
      </c>
      <c r="O93" s="1" t="s">
        <v>40</v>
      </c>
      <c r="P93" s="1" t="str">
        <f>UPPER(LEFT(Table1[[#This Row],[Region]],2))</f>
        <v>NO</v>
      </c>
      <c r="Q93" s="1" t="s">
        <v>27</v>
      </c>
      <c r="R93" s="3">
        <v>44991</v>
      </c>
      <c r="S93" s="20">
        <v>999.95</v>
      </c>
      <c r="T93" s="23">
        <f t="shared" ca="1" si="3"/>
        <v>46057</v>
      </c>
      <c r="U93" s="26">
        <f t="shared" ca="1" si="4"/>
        <v>46057.595634259262</v>
      </c>
      <c r="V93" s="25">
        <f ca="1">DATEDIF(Table1[[#This Row],[Date]],TODAY(),"d")</f>
        <v>538</v>
      </c>
      <c r="W93" s="28">
        <f>EOMONTH(Table1[[#This Row],[Date]],0)</f>
        <v>45535</v>
      </c>
      <c r="X93" s="26">
        <f t="shared" ca="1" si="5"/>
        <v>46040.622929282406</v>
      </c>
    </row>
    <row r="94" spans="1:24" ht="15.75" thickBot="1" x14ac:dyDescent="0.3">
      <c r="A94" s="5" t="s">
        <v>221</v>
      </c>
      <c r="B94" s="3">
        <v>45522</v>
      </c>
      <c r="C94" s="12" t="str">
        <f>TEXT(Table1[[#This Row],[Date]],"mmm")</f>
        <v>Aug</v>
      </c>
      <c r="D94" s="12">
        <f>YEAR(Table1[[#This Row],[Date]])</f>
        <v>2024</v>
      </c>
      <c r="E94" s="3" t="str">
        <f>TEXT(Table1[[#This Row],[Date]],"mmm-yyyy")</f>
        <v>Aug-2024</v>
      </c>
      <c r="F94" s="1" t="s">
        <v>86</v>
      </c>
      <c r="G94" s="1" t="s">
        <v>87</v>
      </c>
      <c r="H94" s="1" t="str">
        <f>LEFT(Table1[[#This Row],[Customer_Name]],1)&amp;LEFT(MID(Table1[[#This Row],[Customer_Name]],FIND(" ",Table1[[#This Row],[Customer_Name]])+1,50),1)</f>
        <v>MC</v>
      </c>
      <c r="I94" s="1" t="s">
        <v>117</v>
      </c>
      <c r="J94" s="1" t="s">
        <v>118</v>
      </c>
      <c r="K94" s="1" t="s">
        <v>19</v>
      </c>
      <c r="L94" s="12">
        <v>2</v>
      </c>
      <c r="M94" s="16">
        <v>89.99</v>
      </c>
      <c r="N94" s="1" t="s">
        <v>20</v>
      </c>
      <c r="O94" s="1" t="s">
        <v>63</v>
      </c>
      <c r="P94" s="1" t="str">
        <f>UPPER(LEFT(Table1[[#This Row],[Region]],2))</f>
        <v>EA</v>
      </c>
      <c r="Q94" s="1" t="s">
        <v>27</v>
      </c>
      <c r="R94" s="3">
        <v>44972</v>
      </c>
      <c r="S94" s="20">
        <v>179.98</v>
      </c>
      <c r="T94" s="23">
        <f t="shared" ca="1" si="3"/>
        <v>46057</v>
      </c>
      <c r="U94" s="26">
        <f t="shared" ca="1" si="4"/>
        <v>46057.595634259262</v>
      </c>
      <c r="V94" s="25">
        <f ca="1">DATEDIF(Table1[[#This Row],[Date]],TODAY(),"d")</f>
        <v>535</v>
      </c>
      <c r="W94" s="28">
        <f>EOMONTH(Table1[[#This Row],[Date]],0)</f>
        <v>45535</v>
      </c>
      <c r="X94" s="26">
        <f t="shared" ca="1" si="5"/>
        <v>46040.622929282406</v>
      </c>
    </row>
    <row r="95" spans="1:24" ht="15.75" thickBot="1" x14ac:dyDescent="0.3">
      <c r="A95" s="5" t="s">
        <v>222</v>
      </c>
      <c r="B95" s="3">
        <v>45523</v>
      </c>
      <c r="C95" s="12" t="str">
        <f>TEXT(Table1[[#This Row],[Date]],"mmm")</f>
        <v>Aug</v>
      </c>
      <c r="D95" s="12">
        <f>YEAR(Table1[[#This Row],[Date]])</f>
        <v>2024</v>
      </c>
      <c r="E95" s="3" t="str">
        <f>TEXT(Table1[[#This Row],[Date]],"mmm-yyyy")</f>
        <v>Aug-2024</v>
      </c>
      <c r="F95" s="1" t="s">
        <v>196</v>
      </c>
      <c r="G95" s="1" t="s">
        <v>197</v>
      </c>
      <c r="H95" s="1" t="str">
        <f>LEFT(Table1[[#This Row],[Customer_Name]],1)&amp;LEFT(MID(Table1[[#This Row],[Customer_Name]],FIND(" ",Table1[[#This Row],[Customer_Name]])+1,50),1)</f>
        <v>GM</v>
      </c>
      <c r="I95" s="1" t="s">
        <v>61</v>
      </c>
      <c r="J95" s="1" t="s">
        <v>62</v>
      </c>
      <c r="K95" s="1" t="s">
        <v>19</v>
      </c>
      <c r="L95" s="12">
        <v>5</v>
      </c>
      <c r="M95" s="16">
        <v>899.99</v>
      </c>
      <c r="N95" s="1" t="s">
        <v>57</v>
      </c>
      <c r="O95" s="1" t="s">
        <v>63</v>
      </c>
      <c r="P95" s="1" t="str">
        <f>UPPER(LEFT(Table1[[#This Row],[Region]],2))</f>
        <v>EA</v>
      </c>
      <c r="Q95" s="1" t="s">
        <v>22</v>
      </c>
      <c r="R95" s="3">
        <v>44526</v>
      </c>
      <c r="S95" s="20">
        <v>4499.95</v>
      </c>
      <c r="T95" s="23">
        <f t="shared" ca="1" si="3"/>
        <v>46057</v>
      </c>
      <c r="U95" s="26">
        <f t="shared" ca="1" si="4"/>
        <v>46057.595634259262</v>
      </c>
      <c r="V95" s="25">
        <f ca="1">DATEDIF(Table1[[#This Row],[Date]],TODAY(),"d")</f>
        <v>534</v>
      </c>
      <c r="W95" s="28">
        <f>EOMONTH(Table1[[#This Row],[Date]],0)</f>
        <v>45535</v>
      </c>
      <c r="X95" s="26">
        <f t="shared" ca="1" si="5"/>
        <v>46040.622929282406</v>
      </c>
    </row>
    <row r="96" spans="1:24" ht="15.75" thickBot="1" x14ac:dyDescent="0.3">
      <c r="A96" s="5" t="s">
        <v>223</v>
      </c>
      <c r="B96" s="3">
        <v>45523</v>
      </c>
      <c r="C96" s="12" t="str">
        <f>TEXT(Table1[[#This Row],[Date]],"mmm")</f>
        <v>Aug</v>
      </c>
      <c r="D96" s="12">
        <f>YEAR(Table1[[#This Row],[Date]])</f>
        <v>2024</v>
      </c>
      <c r="E96" s="3" t="str">
        <f>TEXT(Table1[[#This Row],[Date]],"mmm-yyyy")</f>
        <v>Aug-2024</v>
      </c>
      <c r="F96" s="1" t="s">
        <v>108</v>
      </c>
      <c r="G96" s="1" t="s">
        <v>109</v>
      </c>
      <c r="H96" s="1" t="str">
        <f>LEFT(Table1[[#This Row],[Customer_Name]],1)&amp;LEFT(MID(Table1[[#This Row],[Customer_Name]],FIND(" ",Table1[[#This Row],[Customer_Name]])+1,50),1)</f>
        <v>NC</v>
      </c>
      <c r="I96" s="1" t="s">
        <v>52</v>
      </c>
      <c r="J96" s="1" t="s">
        <v>53</v>
      </c>
      <c r="K96" s="1" t="s">
        <v>19</v>
      </c>
      <c r="L96" s="12">
        <v>3</v>
      </c>
      <c r="M96" s="16">
        <v>149.99</v>
      </c>
      <c r="N96" s="1" t="s">
        <v>34</v>
      </c>
      <c r="O96" s="1" t="s">
        <v>63</v>
      </c>
      <c r="P96" s="1" t="str">
        <f>UPPER(LEFT(Table1[[#This Row],[Region]],2))</f>
        <v>EA</v>
      </c>
      <c r="Q96" s="1" t="s">
        <v>22</v>
      </c>
      <c r="R96" s="3">
        <v>44574</v>
      </c>
      <c r="S96" s="20">
        <v>449.97</v>
      </c>
      <c r="T96" s="23">
        <f t="shared" ca="1" si="3"/>
        <v>46057</v>
      </c>
      <c r="U96" s="26">
        <f t="shared" ca="1" si="4"/>
        <v>46057.595634259262</v>
      </c>
      <c r="V96" s="25">
        <f ca="1">DATEDIF(Table1[[#This Row],[Date]],TODAY(),"d")</f>
        <v>534</v>
      </c>
      <c r="W96" s="28">
        <f>EOMONTH(Table1[[#This Row],[Date]],0)</f>
        <v>45535</v>
      </c>
      <c r="X96" s="26">
        <f t="shared" ca="1" si="5"/>
        <v>46040.622929282406</v>
      </c>
    </row>
    <row r="97" spans="1:24" ht="15.75" thickBot="1" x14ac:dyDescent="0.3">
      <c r="A97" s="5" t="s">
        <v>224</v>
      </c>
      <c r="B97" s="3">
        <v>45526</v>
      </c>
      <c r="C97" s="12" t="str">
        <f>TEXT(Table1[[#This Row],[Date]],"mmm")</f>
        <v>Aug</v>
      </c>
      <c r="D97" s="12">
        <f>YEAR(Table1[[#This Row],[Date]])</f>
        <v>2024</v>
      </c>
      <c r="E97" s="3" t="str">
        <f>TEXT(Table1[[#This Row],[Date]],"mmm-yyyy")</f>
        <v>Aug-2024</v>
      </c>
      <c r="F97" s="1" t="s">
        <v>102</v>
      </c>
      <c r="G97" s="1" t="s">
        <v>103</v>
      </c>
      <c r="H97" s="1" t="str">
        <f>LEFT(Table1[[#This Row],[Customer_Name]],1)&amp;LEFT(MID(Table1[[#This Row],[Customer_Name]],FIND(" ",Table1[[#This Row],[Customer_Name]])+1,50),1)</f>
        <v>CP</v>
      </c>
      <c r="I97" s="1" t="s">
        <v>44</v>
      </c>
      <c r="J97" s="1" t="s">
        <v>45</v>
      </c>
      <c r="K97" s="1" t="s">
        <v>46</v>
      </c>
      <c r="L97" s="12">
        <v>5</v>
      </c>
      <c r="M97" s="16">
        <v>149.99</v>
      </c>
      <c r="N97" s="1" t="s">
        <v>26</v>
      </c>
      <c r="O97" s="1" t="s">
        <v>21</v>
      </c>
      <c r="P97" s="1" t="str">
        <f>UPPER(LEFT(Table1[[#This Row],[Region]],2))</f>
        <v>CE</v>
      </c>
      <c r="Q97" s="1" t="s">
        <v>22</v>
      </c>
      <c r="R97" s="3">
        <v>45310</v>
      </c>
      <c r="S97" s="20">
        <v>749.95</v>
      </c>
      <c r="T97" s="23">
        <f t="shared" ca="1" si="3"/>
        <v>46057</v>
      </c>
      <c r="U97" s="26">
        <f t="shared" ca="1" si="4"/>
        <v>46057.595634259262</v>
      </c>
      <c r="V97" s="25">
        <f ca="1">DATEDIF(Table1[[#This Row],[Date]],TODAY(),"d")</f>
        <v>531</v>
      </c>
      <c r="W97" s="28">
        <f>EOMONTH(Table1[[#This Row],[Date]],0)</f>
        <v>45535</v>
      </c>
      <c r="X97" s="26">
        <f t="shared" ca="1" si="5"/>
        <v>46040.622929282406</v>
      </c>
    </row>
    <row r="98" spans="1:24" ht="15.75" thickBot="1" x14ac:dyDescent="0.3">
      <c r="A98" s="5" t="s">
        <v>225</v>
      </c>
      <c r="B98" s="3">
        <v>45528</v>
      </c>
      <c r="C98" s="12" t="str">
        <f>TEXT(Table1[[#This Row],[Date]],"mmm")</f>
        <v>Aug</v>
      </c>
      <c r="D98" s="12">
        <f>YEAR(Table1[[#This Row],[Date]])</f>
        <v>2024</v>
      </c>
      <c r="E98" s="3" t="str">
        <f>TEXT(Table1[[#This Row],[Date]],"mmm-yyyy")</f>
        <v>Aug-2024</v>
      </c>
      <c r="F98" s="1" t="s">
        <v>226</v>
      </c>
      <c r="G98" s="1" t="s">
        <v>227</v>
      </c>
      <c r="H98" s="1" t="str">
        <f>LEFT(Table1[[#This Row],[Customer_Name]],1)&amp;LEFT(MID(Table1[[#This Row],[Customer_Name]],FIND(" ",Table1[[#This Row],[Customer_Name]])+1,50),1)</f>
        <v>LR</v>
      </c>
      <c r="I98" s="1" t="s">
        <v>114</v>
      </c>
      <c r="J98" s="1" t="s">
        <v>115</v>
      </c>
      <c r="K98" s="1" t="s">
        <v>33</v>
      </c>
      <c r="L98" s="12">
        <v>3</v>
      </c>
      <c r="M98" s="16">
        <v>79.989999999999995</v>
      </c>
      <c r="N98" s="1" t="s">
        <v>20</v>
      </c>
      <c r="O98" s="1" t="s">
        <v>21</v>
      </c>
      <c r="P98" s="1" t="str">
        <f>UPPER(LEFT(Table1[[#This Row],[Region]],2))</f>
        <v>CE</v>
      </c>
      <c r="Q98" s="1" t="s">
        <v>27</v>
      </c>
      <c r="R98" s="3">
        <v>44779</v>
      </c>
      <c r="S98" s="20">
        <v>239.97</v>
      </c>
      <c r="T98" s="23">
        <f t="shared" ca="1" si="3"/>
        <v>46057</v>
      </c>
      <c r="U98" s="26">
        <f t="shared" ca="1" si="4"/>
        <v>46057.595634259262</v>
      </c>
      <c r="V98" s="25">
        <f ca="1">DATEDIF(Table1[[#This Row],[Date]],TODAY(),"d")</f>
        <v>529</v>
      </c>
      <c r="W98" s="28">
        <f>EOMONTH(Table1[[#This Row],[Date]],0)</f>
        <v>45535</v>
      </c>
      <c r="X98" s="26">
        <f t="shared" ca="1" si="5"/>
        <v>46040.622929282406</v>
      </c>
    </row>
    <row r="99" spans="1:24" ht="15.75" thickBot="1" x14ac:dyDescent="0.3">
      <c r="A99" s="5" t="s">
        <v>228</v>
      </c>
      <c r="B99" s="3">
        <v>45528</v>
      </c>
      <c r="C99" s="12" t="str">
        <f>TEXT(Table1[[#This Row],[Date]],"mmm")</f>
        <v>Aug</v>
      </c>
      <c r="D99" s="12">
        <f>YEAR(Table1[[#This Row],[Date]])</f>
        <v>2024</v>
      </c>
      <c r="E99" s="3" t="str">
        <f>TEXT(Table1[[#This Row],[Date]],"mmm-yyyy")</f>
        <v>Aug-2024</v>
      </c>
      <c r="F99" s="1" t="s">
        <v>144</v>
      </c>
      <c r="G99" s="1" t="s">
        <v>145</v>
      </c>
      <c r="H99" s="1" t="str">
        <f>LEFT(Table1[[#This Row],[Customer_Name]],1)&amp;LEFT(MID(Table1[[#This Row],[Customer_Name]],FIND(" ",Table1[[#This Row],[Customer_Name]])+1,50),1)</f>
        <v>HM</v>
      </c>
      <c r="I99" s="1" t="s">
        <v>17</v>
      </c>
      <c r="J99" s="1" t="s">
        <v>18</v>
      </c>
      <c r="K99" s="1" t="s">
        <v>19</v>
      </c>
      <c r="L99" s="12">
        <v>2</v>
      </c>
      <c r="M99" s="16">
        <v>249.99</v>
      </c>
      <c r="N99" s="1" t="s">
        <v>20</v>
      </c>
      <c r="O99" s="1" t="s">
        <v>35</v>
      </c>
      <c r="P99" s="1" t="str">
        <f>UPPER(LEFT(Table1[[#This Row],[Region]],2))</f>
        <v>SO</v>
      </c>
      <c r="Q99" s="1" t="s">
        <v>36</v>
      </c>
      <c r="R99" s="3">
        <v>44572</v>
      </c>
      <c r="S99" s="20">
        <v>499.98</v>
      </c>
      <c r="T99" s="23">
        <f t="shared" ca="1" si="3"/>
        <v>46057</v>
      </c>
      <c r="U99" s="26">
        <f t="shared" ca="1" si="4"/>
        <v>46057.595634259262</v>
      </c>
      <c r="V99" s="25">
        <f ca="1">DATEDIF(Table1[[#This Row],[Date]],TODAY(),"d")</f>
        <v>529</v>
      </c>
      <c r="W99" s="28">
        <f>EOMONTH(Table1[[#This Row],[Date]],0)</f>
        <v>45535</v>
      </c>
      <c r="X99" s="26">
        <f t="shared" ca="1" si="5"/>
        <v>46040.622929282406</v>
      </c>
    </row>
    <row r="100" spans="1:24" ht="15.75" thickBot="1" x14ac:dyDescent="0.3">
      <c r="A100" s="5" t="s">
        <v>229</v>
      </c>
      <c r="B100" s="3">
        <v>45532</v>
      </c>
      <c r="C100" s="12" t="str">
        <f>TEXT(Table1[[#This Row],[Date]],"mmm")</f>
        <v>Aug</v>
      </c>
      <c r="D100" s="12">
        <f>YEAR(Table1[[#This Row],[Date]])</f>
        <v>2024</v>
      </c>
      <c r="E100" s="3" t="str">
        <f>TEXT(Table1[[#This Row],[Date]],"mmm-yyyy")</f>
        <v>Aug-2024</v>
      </c>
      <c r="F100" s="1" t="s">
        <v>196</v>
      </c>
      <c r="G100" s="1" t="s">
        <v>197</v>
      </c>
      <c r="H100" s="1" t="str">
        <f>LEFT(Table1[[#This Row],[Customer_Name]],1)&amp;LEFT(MID(Table1[[#This Row],[Customer_Name]],FIND(" ",Table1[[#This Row],[Customer_Name]])+1,50),1)</f>
        <v>GM</v>
      </c>
      <c r="I100" s="1" t="s">
        <v>80</v>
      </c>
      <c r="J100" s="1" t="s">
        <v>81</v>
      </c>
      <c r="K100" s="1" t="s">
        <v>19</v>
      </c>
      <c r="L100" s="12">
        <v>1</v>
      </c>
      <c r="M100" s="16">
        <v>699.99</v>
      </c>
      <c r="N100" s="1" t="s">
        <v>20</v>
      </c>
      <c r="O100" s="1" t="s">
        <v>21</v>
      </c>
      <c r="P100" s="1" t="str">
        <f>UPPER(LEFT(Table1[[#This Row],[Region]],2))</f>
        <v>CE</v>
      </c>
      <c r="Q100" s="1" t="s">
        <v>27</v>
      </c>
      <c r="R100" s="3">
        <v>44497</v>
      </c>
      <c r="S100" s="20">
        <v>699.99</v>
      </c>
      <c r="T100" s="23">
        <f t="shared" ca="1" si="3"/>
        <v>46057</v>
      </c>
      <c r="U100" s="26">
        <f t="shared" ca="1" si="4"/>
        <v>46057.595634259262</v>
      </c>
      <c r="V100" s="25">
        <f ca="1">DATEDIF(Table1[[#This Row],[Date]],TODAY(),"d")</f>
        <v>525</v>
      </c>
      <c r="W100" s="28">
        <f>EOMONTH(Table1[[#This Row],[Date]],0)</f>
        <v>45535</v>
      </c>
      <c r="X100" s="26">
        <f t="shared" ca="1" si="5"/>
        <v>46040.622929282406</v>
      </c>
    </row>
    <row r="101" spans="1:24" ht="15.75" thickBot="1" x14ac:dyDescent="0.3">
      <c r="A101" s="5" t="s">
        <v>230</v>
      </c>
      <c r="B101" s="3">
        <v>45532</v>
      </c>
      <c r="C101" s="12" t="str">
        <f>TEXT(Table1[[#This Row],[Date]],"mmm")</f>
        <v>Aug</v>
      </c>
      <c r="D101" s="12">
        <f>YEAR(Table1[[#This Row],[Date]])</f>
        <v>2024</v>
      </c>
      <c r="E101" s="3" t="str">
        <f>TEXT(Table1[[#This Row],[Date]],"mmm-yyyy")</f>
        <v>Aug-2024</v>
      </c>
      <c r="F101" s="1" t="s">
        <v>231</v>
      </c>
      <c r="G101" s="1" t="s">
        <v>232</v>
      </c>
      <c r="H101" s="1" t="str">
        <f>LEFT(Table1[[#This Row],[Customer_Name]],1)&amp;LEFT(MID(Table1[[#This Row],[Customer_Name]],FIND(" ",Table1[[#This Row],[Customer_Name]])+1,50),1)</f>
        <v>CE</v>
      </c>
      <c r="I101" s="1" t="s">
        <v>52</v>
      </c>
      <c r="J101" s="1" t="s">
        <v>53</v>
      </c>
      <c r="K101" s="1" t="s">
        <v>19</v>
      </c>
      <c r="L101" s="12">
        <v>3</v>
      </c>
      <c r="M101" s="16">
        <v>149.99</v>
      </c>
      <c r="N101" s="1" t="s">
        <v>20</v>
      </c>
      <c r="O101" s="1" t="s">
        <v>50</v>
      </c>
      <c r="P101" s="1" t="str">
        <f>UPPER(LEFT(Table1[[#This Row],[Region]],2))</f>
        <v>WE</v>
      </c>
      <c r="Q101" s="1" t="s">
        <v>27</v>
      </c>
      <c r="R101" s="3">
        <v>45212</v>
      </c>
      <c r="S101" s="20">
        <v>449.97</v>
      </c>
      <c r="T101" s="23">
        <f t="shared" ca="1" si="3"/>
        <v>46057</v>
      </c>
      <c r="U101" s="26">
        <f t="shared" ca="1" si="4"/>
        <v>46057.595634259262</v>
      </c>
      <c r="V101" s="25">
        <f ca="1">DATEDIF(Table1[[#This Row],[Date]],TODAY(),"d")</f>
        <v>525</v>
      </c>
      <c r="W101" s="28">
        <f>EOMONTH(Table1[[#This Row],[Date]],0)</f>
        <v>45535</v>
      </c>
      <c r="X101" s="26">
        <f t="shared" ca="1" si="5"/>
        <v>46040.622929282406</v>
      </c>
    </row>
    <row r="102" spans="1:24" ht="15.75" thickBot="1" x14ac:dyDescent="0.3">
      <c r="A102" s="5" t="s">
        <v>233</v>
      </c>
      <c r="B102" s="3">
        <v>45534</v>
      </c>
      <c r="C102" s="12" t="str">
        <f>TEXT(Table1[[#This Row],[Date]],"mmm")</f>
        <v>Aug</v>
      </c>
      <c r="D102" s="12">
        <f>YEAR(Table1[[#This Row],[Date]])</f>
        <v>2024</v>
      </c>
      <c r="E102" s="3" t="str">
        <f>TEXT(Table1[[#This Row],[Date]],"mmm-yyyy")</f>
        <v>Aug-2024</v>
      </c>
      <c r="F102" s="1" t="s">
        <v>234</v>
      </c>
      <c r="G102" s="1" t="s">
        <v>235</v>
      </c>
      <c r="H102" s="1" t="str">
        <f>LEFT(Table1[[#This Row],[Customer_Name]],1)&amp;LEFT(MID(Table1[[#This Row],[Customer_Name]],FIND(" ",Table1[[#This Row],[Customer_Name]])+1,50),1)</f>
        <v>SP</v>
      </c>
      <c r="I102" s="1" t="s">
        <v>80</v>
      </c>
      <c r="J102" s="1" t="s">
        <v>81</v>
      </c>
      <c r="K102" s="1" t="s">
        <v>19</v>
      </c>
      <c r="L102" s="12">
        <v>2</v>
      </c>
      <c r="M102" s="16">
        <v>699.99</v>
      </c>
      <c r="N102" s="1" t="s">
        <v>26</v>
      </c>
      <c r="O102" s="1" t="s">
        <v>40</v>
      </c>
      <c r="P102" s="1" t="str">
        <f>UPPER(LEFT(Table1[[#This Row],[Region]],2))</f>
        <v>NO</v>
      </c>
      <c r="Q102" s="1" t="s">
        <v>27</v>
      </c>
      <c r="R102" s="3">
        <v>44421</v>
      </c>
      <c r="S102" s="20">
        <v>1399.98</v>
      </c>
      <c r="T102" s="23">
        <f t="shared" ca="1" si="3"/>
        <v>46057</v>
      </c>
      <c r="U102" s="26">
        <f t="shared" ca="1" si="4"/>
        <v>46057.595634259262</v>
      </c>
      <c r="V102" s="25">
        <f ca="1">DATEDIF(Table1[[#This Row],[Date]],TODAY(),"d")</f>
        <v>523</v>
      </c>
      <c r="W102" s="28">
        <f>EOMONTH(Table1[[#This Row],[Date]],0)</f>
        <v>45535</v>
      </c>
      <c r="X102" s="26">
        <f t="shared" ca="1" si="5"/>
        <v>46040.622929282406</v>
      </c>
    </row>
    <row r="103" spans="1:24" ht="15.75" thickBot="1" x14ac:dyDescent="0.3">
      <c r="A103" s="5" t="s">
        <v>236</v>
      </c>
      <c r="B103" s="3">
        <v>45537</v>
      </c>
      <c r="C103" s="12" t="str">
        <f>TEXT(Table1[[#This Row],[Date]],"mmm")</f>
        <v>Sep</v>
      </c>
      <c r="D103" s="12">
        <f>YEAR(Table1[[#This Row],[Date]])</f>
        <v>2024</v>
      </c>
      <c r="E103" s="3" t="str">
        <f>TEXT(Table1[[#This Row],[Date]],"mmm-yyyy")</f>
        <v>Sep-2024</v>
      </c>
      <c r="F103" s="1" t="s">
        <v>231</v>
      </c>
      <c r="G103" s="1" t="s">
        <v>232</v>
      </c>
      <c r="H103" s="1" t="str">
        <f>LEFT(Table1[[#This Row],[Customer_Name]],1)&amp;LEFT(MID(Table1[[#This Row],[Customer_Name]],FIND(" ",Table1[[#This Row],[Customer_Name]])+1,50),1)</f>
        <v>CE</v>
      </c>
      <c r="I103" s="1" t="s">
        <v>17</v>
      </c>
      <c r="J103" s="1" t="s">
        <v>18</v>
      </c>
      <c r="K103" s="1" t="s">
        <v>19</v>
      </c>
      <c r="L103" s="12">
        <v>1</v>
      </c>
      <c r="M103" s="16">
        <v>249.99</v>
      </c>
      <c r="N103" s="1" t="s">
        <v>26</v>
      </c>
      <c r="O103" s="1" t="s">
        <v>50</v>
      </c>
      <c r="P103" s="1" t="str">
        <f>UPPER(LEFT(Table1[[#This Row],[Region]],2))</f>
        <v>WE</v>
      </c>
      <c r="Q103" s="1" t="s">
        <v>27</v>
      </c>
      <c r="R103" s="3">
        <v>44685</v>
      </c>
      <c r="S103" s="20">
        <v>249.99</v>
      </c>
      <c r="T103" s="23">
        <f t="shared" ca="1" si="3"/>
        <v>46057</v>
      </c>
      <c r="U103" s="26">
        <f t="shared" ca="1" si="4"/>
        <v>46057.595634259262</v>
      </c>
      <c r="V103" s="25">
        <f ca="1">DATEDIF(Table1[[#This Row],[Date]],TODAY(),"d")</f>
        <v>520</v>
      </c>
      <c r="W103" s="28">
        <f>EOMONTH(Table1[[#This Row],[Date]],0)</f>
        <v>45565</v>
      </c>
      <c r="X103" s="26">
        <f t="shared" ca="1" si="5"/>
        <v>46040.622929282406</v>
      </c>
    </row>
    <row r="104" spans="1:24" ht="15.75" thickBot="1" x14ac:dyDescent="0.3">
      <c r="A104" s="5" t="s">
        <v>237</v>
      </c>
      <c r="B104" s="3">
        <v>45537</v>
      </c>
      <c r="C104" s="12" t="str">
        <f>TEXT(Table1[[#This Row],[Date]],"mmm")</f>
        <v>Sep</v>
      </c>
      <c r="D104" s="12">
        <f>YEAR(Table1[[#This Row],[Date]])</f>
        <v>2024</v>
      </c>
      <c r="E104" s="3" t="str">
        <f>TEXT(Table1[[#This Row],[Date]],"mmm-yyyy")</f>
        <v>Sep-2024</v>
      </c>
      <c r="F104" s="1" t="s">
        <v>15</v>
      </c>
      <c r="G104" s="1" t="s">
        <v>16</v>
      </c>
      <c r="H104" s="1" t="str">
        <f>LEFT(Table1[[#This Row],[Customer_Name]],1)&amp;LEFT(MID(Table1[[#This Row],[Customer_Name]],FIND(" ",Table1[[#This Row],[Customer_Name]])+1,50),1)</f>
        <v>PB</v>
      </c>
      <c r="I104" s="1" t="s">
        <v>17</v>
      </c>
      <c r="J104" s="1" t="s">
        <v>18</v>
      </c>
      <c r="K104" s="1" t="s">
        <v>19</v>
      </c>
      <c r="L104" s="12">
        <v>1</v>
      </c>
      <c r="M104" s="16">
        <v>249.99</v>
      </c>
      <c r="N104" s="1" t="s">
        <v>57</v>
      </c>
      <c r="O104" s="1" t="s">
        <v>40</v>
      </c>
      <c r="P104" s="1" t="str">
        <f>UPPER(LEFT(Table1[[#This Row],[Region]],2))</f>
        <v>NO</v>
      </c>
      <c r="Q104" s="1" t="s">
        <v>27</v>
      </c>
      <c r="R104" s="3">
        <v>45332</v>
      </c>
      <c r="S104" s="20">
        <v>249.99</v>
      </c>
      <c r="T104" s="23">
        <f t="shared" ca="1" si="3"/>
        <v>46057</v>
      </c>
      <c r="U104" s="26">
        <f t="shared" ca="1" si="4"/>
        <v>46057.595634259262</v>
      </c>
      <c r="V104" s="25">
        <f ca="1">DATEDIF(Table1[[#This Row],[Date]],TODAY(),"d")</f>
        <v>520</v>
      </c>
      <c r="W104" s="28">
        <f>EOMONTH(Table1[[#This Row],[Date]],0)</f>
        <v>45565</v>
      </c>
      <c r="X104" s="26">
        <f t="shared" ca="1" si="5"/>
        <v>46040.622929282406</v>
      </c>
    </row>
    <row r="105" spans="1:24" ht="15.75" thickBot="1" x14ac:dyDescent="0.3">
      <c r="A105" s="5" t="s">
        <v>238</v>
      </c>
      <c r="B105" s="3">
        <v>45538</v>
      </c>
      <c r="C105" s="12" t="str">
        <f>TEXT(Table1[[#This Row],[Date]],"mmm")</f>
        <v>Sep</v>
      </c>
      <c r="D105" s="12">
        <f>YEAR(Table1[[#This Row],[Date]])</f>
        <v>2024</v>
      </c>
      <c r="E105" s="3" t="str">
        <f>TEXT(Table1[[#This Row],[Date]],"mmm-yyyy")</f>
        <v>Sep-2024</v>
      </c>
      <c r="F105" s="1" t="s">
        <v>226</v>
      </c>
      <c r="G105" s="1" t="s">
        <v>227</v>
      </c>
      <c r="H105" s="1" t="str">
        <f>LEFT(Table1[[#This Row],[Customer_Name]],1)&amp;LEFT(MID(Table1[[#This Row],[Customer_Name]],FIND(" ",Table1[[#This Row],[Customer_Name]])+1,50),1)</f>
        <v>LR</v>
      </c>
      <c r="I105" s="1" t="s">
        <v>80</v>
      </c>
      <c r="J105" s="1" t="s">
        <v>81</v>
      </c>
      <c r="K105" s="1" t="s">
        <v>19</v>
      </c>
      <c r="L105" s="12">
        <v>2</v>
      </c>
      <c r="M105" s="16">
        <v>699.99</v>
      </c>
      <c r="N105" s="1" t="s">
        <v>57</v>
      </c>
      <c r="O105" s="1" t="s">
        <v>21</v>
      </c>
      <c r="P105" s="1" t="str">
        <f>UPPER(LEFT(Table1[[#This Row],[Region]],2))</f>
        <v>CE</v>
      </c>
      <c r="Q105" s="1" t="s">
        <v>27</v>
      </c>
      <c r="R105" s="3">
        <v>44870</v>
      </c>
      <c r="S105" s="20">
        <v>1399.98</v>
      </c>
      <c r="T105" s="23">
        <f t="shared" ca="1" si="3"/>
        <v>46057</v>
      </c>
      <c r="U105" s="26">
        <f t="shared" ca="1" si="4"/>
        <v>46057.595634259262</v>
      </c>
      <c r="V105" s="25">
        <f ca="1">DATEDIF(Table1[[#This Row],[Date]],TODAY(),"d")</f>
        <v>519</v>
      </c>
      <c r="W105" s="28">
        <f>EOMONTH(Table1[[#This Row],[Date]],0)</f>
        <v>45565</v>
      </c>
      <c r="X105" s="26">
        <f t="shared" ca="1" si="5"/>
        <v>46040.622929282406</v>
      </c>
    </row>
    <row r="106" spans="1:24" ht="15.75" thickBot="1" x14ac:dyDescent="0.3">
      <c r="A106" s="5" t="s">
        <v>239</v>
      </c>
      <c r="B106" s="3">
        <v>45541</v>
      </c>
      <c r="C106" s="12" t="str">
        <f>TEXT(Table1[[#This Row],[Date]],"mmm")</f>
        <v>Sep</v>
      </c>
      <c r="D106" s="12">
        <f>YEAR(Table1[[#This Row],[Date]])</f>
        <v>2024</v>
      </c>
      <c r="E106" s="3" t="str">
        <f>TEXT(Table1[[#This Row],[Date]],"mmm-yyyy")</f>
        <v>Sep-2024</v>
      </c>
      <c r="F106" s="1" t="s">
        <v>138</v>
      </c>
      <c r="G106" s="1" t="s">
        <v>139</v>
      </c>
      <c r="H106" s="1" t="str">
        <f>LEFT(Table1[[#This Row],[Customer_Name]],1)&amp;LEFT(MID(Table1[[#This Row],[Customer_Name]],FIND(" ",Table1[[#This Row],[Customer_Name]])+1,50),1)</f>
        <v>ST</v>
      </c>
      <c r="I106" s="1" t="s">
        <v>31</v>
      </c>
      <c r="J106" s="1" t="s">
        <v>32</v>
      </c>
      <c r="K106" s="1" t="s">
        <v>33</v>
      </c>
      <c r="L106" s="12">
        <v>3</v>
      </c>
      <c r="M106" s="16">
        <v>59.99</v>
      </c>
      <c r="N106" s="1" t="s">
        <v>26</v>
      </c>
      <c r="O106" s="1" t="s">
        <v>21</v>
      </c>
      <c r="P106" s="1" t="str">
        <f>UPPER(LEFT(Table1[[#This Row],[Region]],2))</f>
        <v>CE</v>
      </c>
      <c r="Q106" s="1" t="s">
        <v>27</v>
      </c>
      <c r="R106" s="3">
        <v>44717</v>
      </c>
      <c r="S106" s="20">
        <v>179.97</v>
      </c>
      <c r="T106" s="23">
        <f t="shared" ca="1" si="3"/>
        <v>46057</v>
      </c>
      <c r="U106" s="26">
        <f t="shared" ca="1" si="4"/>
        <v>46057.595634259262</v>
      </c>
      <c r="V106" s="25">
        <f ca="1">DATEDIF(Table1[[#This Row],[Date]],TODAY(),"d")</f>
        <v>516</v>
      </c>
      <c r="W106" s="28">
        <f>EOMONTH(Table1[[#This Row],[Date]],0)</f>
        <v>45565</v>
      </c>
      <c r="X106" s="26">
        <f t="shared" ca="1" si="5"/>
        <v>46040.622929282406</v>
      </c>
    </row>
    <row r="107" spans="1:24" ht="15.75" thickBot="1" x14ac:dyDescent="0.3">
      <c r="A107" s="5" t="s">
        <v>240</v>
      </c>
      <c r="B107" s="3">
        <v>45544</v>
      </c>
      <c r="C107" s="12" t="str">
        <f>TEXT(Table1[[#This Row],[Date]],"mmm")</f>
        <v>Sep</v>
      </c>
      <c r="D107" s="12">
        <f>YEAR(Table1[[#This Row],[Date]])</f>
        <v>2024</v>
      </c>
      <c r="E107" s="3" t="str">
        <f>TEXT(Table1[[#This Row],[Date]],"mmm-yyyy")</f>
        <v>Sep-2024</v>
      </c>
      <c r="F107" s="1" t="s">
        <v>132</v>
      </c>
      <c r="G107" s="1" t="s">
        <v>133</v>
      </c>
      <c r="H107" s="1" t="str">
        <f>LEFT(Table1[[#This Row],[Customer_Name]],1)&amp;LEFT(MID(Table1[[#This Row],[Customer_Name]],FIND(" ",Table1[[#This Row],[Customer_Name]])+1,50),1)</f>
        <v>EW</v>
      </c>
      <c r="I107" s="1" t="s">
        <v>31</v>
      </c>
      <c r="J107" s="1" t="s">
        <v>32</v>
      </c>
      <c r="K107" s="1" t="s">
        <v>33</v>
      </c>
      <c r="L107" s="12">
        <v>3</v>
      </c>
      <c r="M107" s="16">
        <v>59.99</v>
      </c>
      <c r="N107" s="1" t="s">
        <v>34</v>
      </c>
      <c r="O107" s="1" t="s">
        <v>63</v>
      </c>
      <c r="P107" s="1" t="str">
        <f>UPPER(LEFT(Table1[[#This Row],[Region]],2))</f>
        <v>EA</v>
      </c>
      <c r="Q107" s="1" t="s">
        <v>36</v>
      </c>
      <c r="R107" s="3">
        <v>44748</v>
      </c>
      <c r="S107" s="20">
        <v>179.97</v>
      </c>
      <c r="T107" s="23">
        <f t="shared" ca="1" si="3"/>
        <v>46057</v>
      </c>
      <c r="U107" s="26">
        <f t="shared" ca="1" si="4"/>
        <v>46057.595634259262</v>
      </c>
      <c r="V107" s="25">
        <f ca="1">DATEDIF(Table1[[#This Row],[Date]],TODAY(),"d")</f>
        <v>513</v>
      </c>
      <c r="W107" s="28">
        <f>EOMONTH(Table1[[#This Row],[Date]],0)</f>
        <v>45565</v>
      </c>
      <c r="X107" s="26">
        <f t="shared" ca="1" si="5"/>
        <v>46040.622929282406</v>
      </c>
    </row>
    <row r="108" spans="1:24" ht="15.75" thickBot="1" x14ac:dyDescent="0.3">
      <c r="A108" s="5" t="s">
        <v>241</v>
      </c>
      <c r="B108" s="3">
        <v>45544</v>
      </c>
      <c r="C108" s="12" t="str">
        <f>TEXT(Table1[[#This Row],[Date]],"mmm")</f>
        <v>Sep</v>
      </c>
      <c r="D108" s="12">
        <f>YEAR(Table1[[#This Row],[Date]])</f>
        <v>2024</v>
      </c>
      <c r="E108" s="3" t="str">
        <f>TEXT(Table1[[#This Row],[Date]],"mmm-yyyy")</f>
        <v>Sep-2024</v>
      </c>
      <c r="F108" s="1" t="s">
        <v>141</v>
      </c>
      <c r="G108" s="1" t="s">
        <v>142</v>
      </c>
      <c r="H108" s="1" t="str">
        <f>LEFT(Table1[[#This Row],[Customer_Name]],1)&amp;LEFT(MID(Table1[[#This Row],[Customer_Name]],FIND(" ",Table1[[#This Row],[Customer_Name]])+1,50),1)</f>
        <v>JT</v>
      </c>
      <c r="I108" s="1" t="s">
        <v>114</v>
      </c>
      <c r="J108" s="1" t="s">
        <v>115</v>
      </c>
      <c r="K108" s="1" t="s">
        <v>33</v>
      </c>
      <c r="L108" s="12">
        <v>4</v>
      </c>
      <c r="M108" s="16">
        <v>79.989999999999995</v>
      </c>
      <c r="N108" s="1" t="s">
        <v>20</v>
      </c>
      <c r="O108" s="1" t="s">
        <v>40</v>
      </c>
      <c r="P108" s="1" t="str">
        <f>UPPER(LEFT(Table1[[#This Row],[Region]],2))</f>
        <v>NO</v>
      </c>
      <c r="Q108" s="1" t="s">
        <v>22</v>
      </c>
      <c r="R108" s="3">
        <v>44530</v>
      </c>
      <c r="S108" s="20">
        <v>319.95999999999998</v>
      </c>
      <c r="T108" s="23">
        <f t="shared" ca="1" si="3"/>
        <v>46057</v>
      </c>
      <c r="U108" s="26">
        <f t="shared" ca="1" si="4"/>
        <v>46057.595634259262</v>
      </c>
      <c r="V108" s="25">
        <f ca="1">DATEDIF(Table1[[#This Row],[Date]],TODAY(),"d")</f>
        <v>513</v>
      </c>
      <c r="W108" s="28">
        <f>EOMONTH(Table1[[#This Row],[Date]],0)</f>
        <v>45565</v>
      </c>
      <c r="X108" s="26">
        <f t="shared" ca="1" si="5"/>
        <v>46040.622929282406</v>
      </c>
    </row>
    <row r="109" spans="1:24" ht="15.75" thickBot="1" x14ac:dyDescent="0.3">
      <c r="A109" s="5" t="s">
        <v>242</v>
      </c>
      <c r="B109" s="3">
        <v>45545</v>
      </c>
      <c r="C109" s="12" t="str">
        <f>TEXT(Table1[[#This Row],[Date]],"mmm")</f>
        <v>Sep</v>
      </c>
      <c r="D109" s="12">
        <f>YEAR(Table1[[#This Row],[Date]])</f>
        <v>2024</v>
      </c>
      <c r="E109" s="3" t="str">
        <f>TEXT(Table1[[#This Row],[Date]],"mmm-yyyy")</f>
        <v>Sep-2024</v>
      </c>
      <c r="F109" s="1" t="s">
        <v>55</v>
      </c>
      <c r="G109" s="1" t="s">
        <v>56</v>
      </c>
      <c r="H109" s="1" t="str">
        <f>LEFT(Table1[[#This Row],[Customer_Name]],1)&amp;LEFT(MID(Table1[[#This Row],[Customer_Name]],FIND(" ",Table1[[#This Row],[Customer_Name]])+1,50),1)</f>
        <v>CA</v>
      </c>
      <c r="I109" s="1" t="s">
        <v>114</v>
      </c>
      <c r="J109" s="1" t="s">
        <v>115</v>
      </c>
      <c r="K109" s="1" t="s">
        <v>33</v>
      </c>
      <c r="L109" s="12">
        <v>1</v>
      </c>
      <c r="M109" s="16">
        <v>79.989999999999995</v>
      </c>
      <c r="N109" s="1" t="s">
        <v>20</v>
      </c>
      <c r="O109" s="1" t="s">
        <v>50</v>
      </c>
      <c r="P109" s="1" t="str">
        <f>UPPER(LEFT(Table1[[#This Row],[Region]],2))</f>
        <v>WE</v>
      </c>
      <c r="Q109" s="1" t="s">
        <v>22</v>
      </c>
      <c r="R109" s="3">
        <v>44693</v>
      </c>
      <c r="S109" s="20">
        <v>79.989999999999995</v>
      </c>
      <c r="T109" s="23">
        <f t="shared" ca="1" si="3"/>
        <v>46057</v>
      </c>
      <c r="U109" s="26">
        <f t="shared" ca="1" si="4"/>
        <v>46057.595634259262</v>
      </c>
      <c r="V109" s="25">
        <f ca="1">DATEDIF(Table1[[#This Row],[Date]],TODAY(),"d")</f>
        <v>512</v>
      </c>
      <c r="W109" s="28">
        <f>EOMONTH(Table1[[#This Row],[Date]],0)</f>
        <v>45565</v>
      </c>
      <c r="X109" s="26">
        <f t="shared" ca="1" si="5"/>
        <v>46040.622929282406</v>
      </c>
    </row>
    <row r="110" spans="1:24" ht="15.75" thickBot="1" x14ac:dyDescent="0.3">
      <c r="A110" s="5" t="s">
        <v>243</v>
      </c>
      <c r="B110" s="3">
        <v>45547</v>
      </c>
      <c r="C110" s="12" t="str">
        <f>TEXT(Table1[[#This Row],[Date]],"mmm")</f>
        <v>Sep</v>
      </c>
      <c r="D110" s="12">
        <f>YEAR(Table1[[#This Row],[Date]])</f>
        <v>2024</v>
      </c>
      <c r="E110" s="3" t="str">
        <f>TEXT(Table1[[#This Row],[Date]],"mmm-yyyy")</f>
        <v>Sep-2024</v>
      </c>
      <c r="F110" s="1" t="s">
        <v>48</v>
      </c>
      <c r="G110" s="1" t="s">
        <v>49</v>
      </c>
      <c r="H110" s="1" t="str">
        <f>LEFT(Table1[[#This Row],[Customer_Name]],1)&amp;LEFT(MID(Table1[[#This Row],[Customer_Name]],FIND(" ",Table1[[#This Row],[Customer_Name]])+1,50),1)</f>
        <v>DN</v>
      </c>
      <c r="I110" s="1" t="s">
        <v>105</v>
      </c>
      <c r="J110" s="1" t="s">
        <v>106</v>
      </c>
      <c r="K110" s="1" t="s">
        <v>46</v>
      </c>
      <c r="L110" s="12">
        <v>3</v>
      </c>
      <c r="M110" s="16">
        <v>299.99</v>
      </c>
      <c r="N110" s="1" t="s">
        <v>26</v>
      </c>
      <c r="O110" s="1" t="s">
        <v>21</v>
      </c>
      <c r="P110" s="1" t="str">
        <f>UPPER(LEFT(Table1[[#This Row],[Region]],2))</f>
        <v>CE</v>
      </c>
      <c r="Q110" s="1" t="s">
        <v>27</v>
      </c>
      <c r="R110" s="3">
        <v>44494</v>
      </c>
      <c r="S110" s="20">
        <v>899.97</v>
      </c>
      <c r="T110" s="23">
        <f t="shared" ca="1" si="3"/>
        <v>46057</v>
      </c>
      <c r="U110" s="26">
        <f t="shared" ca="1" si="4"/>
        <v>46057.595634259262</v>
      </c>
      <c r="V110" s="25">
        <f ca="1">DATEDIF(Table1[[#This Row],[Date]],TODAY(),"d")</f>
        <v>510</v>
      </c>
      <c r="W110" s="28">
        <f>EOMONTH(Table1[[#This Row],[Date]],0)</f>
        <v>45565</v>
      </c>
      <c r="X110" s="26">
        <f t="shared" ca="1" si="5"/>
        <v>46040.622929282406</v>
      </c>
    </row>
    <row r="111" spans="1:24" ht="15.75" thickBot="1" x14ac:dyDescent="0.3">
      <c r="A111" s="5" t="s">
        <v>244</v>
      </c>
      <c r="B111" s="3">
        <v>45548</v>
      </c>
      <c r="C111" s="12" t="str">
        <f>TEXT(Table1[[#This Row],[Date]],"mmm")</f>
        <v>Sep</v>
      </c>
      <c r="D111" s="12">
        <f>YEAR(Table1[[#This Row],[Date]])</f>
        <v>2024</v>
      </c>
      <c r="E111" s="3" t="str">
        <f>TEXT(Table1[[#This Row],[Date]],"mmm-yyyy")</f>
        <v>Sep-2024</v>
      </c>
      <c r="F111" s="1" t="s">
        <v>38</v>
      </c>
      <c r="G111" s="1" t="s">
        <v>39</v>
      </c>
      <c r="H111" s="1" t="str">
        <f>LEFT(Table1[[#This Row],[Customer_Name]],1)&amp;LEFT(MID(Table1[[#This Row],[Customer_Name]],FIND(" ",Table1[[#This Row],[Customer_Name]])+1,50),1)</f>
        <v>KB</v>
      </c>
      <c r="I111" s="1" t="s">
        <v>117</v>
      </c>
      <c r="J111" s="1" t="s">
        <v>118</v>
      </c>
      <c r="K111" s="1" t="s">
        <v>19</v>
      </c>
      <c r="L111" s="12">
        <v>2</v>
      </c>
      <c r="M111" s="16">
        <v>89.99</v>
      </c>
      <c r="N111" s="1" t="s">
        <v>26</v>
      </c>
      <c r="O111" s="1" t="s">
        <v>35</v>
      </c>
      <c r="P111" s="1" t="str">
        <f>UPPER(LEFT(Table1[[#This Row],[Region]],2))</f>
        <v>SO</v>
      </c>
      <c r="Q111" s="1" t="s">
        <v>27</v>
      </c>
      <c r="R111" s="3">
        <v>44641</v>
      </c>
      <c r="S111" s="20">
        <v>179.98</v>
      </c>
      <c r="T111" s="23">
        <f t="shared" ca="1" si="3"/>
        <v>46057</v>
      </c>
      <c r="U111" s="26">
        <f t="shared" ca="1" si="4"/>
        <v>46057.595634259262</v>
      </c>
      <c r="V111" s="25">
        <f ca="1">DATEDIF(Table1[[#This Row],[Date]],TODAY(),"d")</f>
        <v>509</v>
      </c>
      <c r="W111" s="28">
        <f>EOMONTH(Table1[[#This Row],[Date]],0)</f>
        <v>45565</v>
      </c>
      <c r="X111" s="26">
        <f t="shared" ca="1" si="5"/>
        <v>46040.622929282406</v>
      </c>
    </row>
    <row r="112" spans="1:24" ht="15.75" thickBot="1" x14ac:dyDescent="0.3">
      <c r="A112" s="5" t="s">
        <v>245</v>
      </c>
      <c r="B112" s="3">
        <v>45550</v>
      </c>
      <c r="C112" s="12" t="str">
        <f>TEXT(Table1[[#This Row],[Date]],"mmm")</f>
        <v>Sep</v>
      </c>
      <c r="D112" s="12">
        <f>YEAR(Table1[[#This Row],[Date]])</f>
        <v>2024</v>
      </c>
      <c r="E112" s="3" t="str">
        <f>TEXT(Table1[[#This Row],[Date]],"mmm-yyyy")</f>
        <v>Sep-2024</v>
      </c>
      <c r="F112" s="1" t="s">
        <v>246</v>
      </c>
      <c r="G112" s="1" t="s">
        <v>247</v>
      </c>
      <c r="H112" s="1" t="str">
        <f>LEFT(Table1[[#This Row],[Customer_Name]],1)&amp;LEFT(MID(Table1[[#This Row],[Customer_Name]],FIND(" ",Table1[[#This Row],[Customer_Name]])+1,50),1)</f>
        <v>RB</v>
      </c>
      <c r="I112" s="1" t="s">
        <v>52</v>
      </c>
      <c r="J112" s="1" t="s">
        <v>53</v>
      </c>
      <c r="K112" s="1" t="s">
        <v>19</v>
      </c>
      <c r="L112" s="12">
        <v>4</v>
      </c>
      <c r="M112" s="16">
        <v>149.99</v>
      </c>
      <c r="N112" s="1" t="s">
        <v>20</v>
      </c>
      <c r="O112" s="1" t="s">
        <v>40</v>
      </c>
      <c r="P112" s="1" t="str">
        <f>UPPER(LEFT(Table1[[#This Row],[Region]],2))</f>
        <v>NO</v>
      </c>
      <c r="Q112" s="1" t="s">
        <v>22</v>
      </c>
      <c r="R112" s="3">
        <v>44909</v>
      </c>
      <c r="S112" s="20">
        <v>599.96</v>
      </c>
      <c r="T112" s="23">
        <f t="shared" ca="1" si="3"/>
        <v>46057</v>
      </c>
      <c r="U112" s="26">
        <f t="shared" ca="1" si="4"/>
        <v>46057.595634259262</v>
      </c>
      <c r="V112" s="25">
        <f ca="1">DATEDIF(Table1[[#This Row],[Date]],TODAY(),"d")</f>
        <v>507</v>
      </c>
      <c r="W112" s="28">
        <f>EOMONTH(Table1[[#This Row],[Date]],0)</f>
        <v>45565</v>
      </c>
      <c r="X112" s="26">
        <f t="shared" ca="1" si="5"/>
        <v>46040.622929282406</v>
      </c>
    </row>
    <row r="113" spans="1:24" ht="15.75" thickBot="1" x14ac:dyDescent="0.3">
      <c r="A113" s="5" t="s">
        <v>248</v>
      </c>
      <c r="B113" s="3">
        <v>45551</v>
      </c>
      <c r="C113" s="12" t="str">
        <f>TEXT(Table1[[#This Row],[Date]],"mmm")</f>
        <v>Sep</v>
      </c>
      <c r="D113" s="12">
        <f>YEAR(Table1[[#This Row],[Date]])</f>
        <v>2024</v>
      </c>
      <c r="E113" s="3" t="str">
        <f>TEXT(Table1[[#This Row],[Date]],"mmm-yyyy")</f>
        <v>Sep-2024</v>
      </c>
      <c r="F113" s="1" t="s">
        <v>65</v>
      </c>
      <c r="G113" s="1" t="s">
        <v>66</v>
      </c>
      <c r="H113" s="1" t="str">
        <f>LEFT(Table1[[#This Row],[Customer_Name]],1)&amp;LEFT(MID(Table1[[#This Row],[Customer_Name]],FIND(" ",Table1[[#This Row],[Customer_Name]])+1,50),1)</f>
        <v>KH</v>
      </c>
      <c r="I113" s="1" t="s">
        <v>17</v>
      </c>
      <c r="J113" s="1" t="s">
        <v>18</v>
      </c>
      <c r="K113" s="1" t="s">
        <v>19</v>
      </c>
      <c r="L113" s="12">
        <v>2</v>
      </c>
      <c r="M113" s="16">
        <v>249.99</v>
      </c>
      <c r="N113" s="1" t="s">
        <v>34</v>
      </c>
      <c r="O113" s="1" t="s">
        <v>35</v>
      </c>
      <c r="P113" s="1" t="str">
        <f>UPPER(LEFT(Table1[[#This Row],[Region]],2))</f>
        <v>SO</v>
      </c>
      <c r="Q113" s="1" t="s">
        <v>22</v>
      </c>
      <c r="R113" s="3">
        <v>44993</v>
      </c>
      <c r="S113" s="20">
        <v>499.98</v>
      </c>
      <c r="T113" s="23">
        <f t="shared" ca="1" si="3"/>
        <v>46057</v>
      </c>
      <c r="U113" s="26">
        <f t="shared" ca="1" si="4"/>
        <v>46057.595634259262</v>
      </c>
      <c r="V113" s="25">
        <f ca="1">DATEDIF(Table1[[#This Row],[Date]],TODAY(),"d")</f>
        <v>506</v>
      </c>
      <c r="W113" s="28">
        <f>EOMONTH(Table1[[#This Row],[Date]],0)</f>
        <v>45565</v>
      </c>
      <c r="X113" s="26">
        <f t="shared" ca="1" si="5"/>
        <v>46040.622929282406</v>
      </c>
    </row>
    <row r="114" spans="1:24" ht="15.75" thickBot="1" x14ac:dyDescent="0.3">
      <c r="A114" s="5" t="s">
        <v>249</v>
      </c>
      <c r="B114" s="3">
        <v>45551</v>
      </c>
      <c r="C114" s="12" t="str">
        <f>TEXT(Table1[[#This Row],[Date]],"mmm")</f>
        <v>Sep</v>
      </c>
      <c r="D114" s="12">
        <f>YEAR(Table1[[#This Row],[Date]])</f>
        <v>2024</v>
      </c>
      <c r="E114" s="3" t="str">
        <f>TEXT(Table1[[#This Row],[Date]],"mmm-yyyy")</f>
        <v>Sep-2024</v>
      </c>
      <c r="F114" s="1" t="s">
        <v>154</v>
      </c>
      <c r="G114" s="1" t="s">
        <v>155</v>
      </c>
      <c r="H114" s="1" t="str">
        <f>LEFT(Table1[[#This Row],[Customer_Name]],1)&amp;LEFT(MID(Table1[[#This Row],[Customer_Name]],FIND(" ",Table1[[#This Row],[Customer_Name]])+1,50),1)</f>
        <v>SD</v>
      </c>
      <c r="I114" s="1" t="s">
        <v>126</v>
      </c>
      <c r="J114" s="1" t="s">
        <v>127</v>
      </c>
      <c r="K114" s="1" t="s">
        <v>46</v>
      </c>
      <c r="L114" s="12">
        <v>4</v>
      </c>
      <c r="M114" s="16">
        <v>199.99</v>
      </c>
      <c r="N114" s="1" t="s">
        <v>57</v>
      </c>
      <c r="O114" s="1" t="s">
        <v>63</v>
      </c>
      <c r="P114" s="1" t="str">
        <f>UPPER(LEFT(Table1[[#This Row],[Region]],2))</f>
        <v>EA</v>
      </c>
      <c r="Q114" s="1" t="s">
        <v>22</v>
      </c>
      <c r="R114" s="3">
        <v>44458</v>
      </c>
      <c r="S114" s="20">
        <v>799.96</v>
      </c>
      <c r="T114" s="23">
        <f t="shared" ca="1" si="3"/>
        <v>46057</v>
      </c>
      <c r="U114" s="26">
        <f t="shared" ca="1" si="4"/>
        <v>46057.595634259262</v>
      </c>
      <c r="V114" s="25">
        <f ca="1">DATEDIF(Table1[[#This Row],[Date]],TODAY(),"d")</f>
        <v>506</v>
      </c>
      <c r="W114" s="28">
        <f>EOMONTH(Table1[[#This Row],[Date]],0)</f>
        <v>45565</v>
      </c>
      <c r="X114" s="26">
        <f t="shared" ca="1" si="5"/>
        <v>46040.622929282406</v>
      </c>
    </row>
    <row r="115" spans="1:24" ht="15.75" thickBot="1" x14ac:dyDescent="0.3">
      <c r="A115" s="5" t="s">
        <v>250</v>
      </c>
      <c r="B115" s="3">
        <v>45554</v>
      </c>
      <c r="C115" s="12" t="str">
        <f>TEXT(Table1[[#This Row],[Date]],"mmm")</f>
        <v>Sep</v>
      </c>
      <c r="D115" s="12">
        <f>YEAR(Table1[[#This Row],[Date]])</f>
        <v>2024</v>
      </c>
      <c r="E115" s="3" t="str">
        <f>TEXT(Table1[[#This Row],[Date]],"mmm-yyyy")</f>
        <v>Sep-2024</v>
      </c>
      <c r="F115" s="1" t="s">
        <v>147</v>
      </c>
      <c r="G115" s="1" t="s">
        <v>148</v>
      </c>
      <c r="H115" s="1" t="str">
        <f>LEFT(Table1[[#This Row],[Customer_Name]],1)&amp;LEFT(MID(Table1[[#This Row],[Customer_Name]],FIND(" ",Table1[[#This Row],[Customer_Name]])+1,50),1)</f>
        <v>DK</v>
      </c>
      <c r="I115" s="1" t="s">
        <v>117</v>
      </c>
      <c r="J115" s="1" t="s">
        <v>118</v>
      </c>
      <c r="K115" s="1" t="s">
        <v>19</v>
      </c>
      <c r="L115" s="12">
        <v>5</v>
      </c>
      <c r="M115" s="16">
        <v>89.99</v>
      </c>
      <c r="N115" s="1" t="s">
        <v>26</v>
      </c>
      <c r="O115" s="1" t="s">
        <v>63</v>
      </c>
      <c r="P115" s="1" t="str">
        <f>UPPER(LEFT(Table1[[#This Row],[Region]],2))</f>
        <v>EA</v>
      </c>
      <c r="Q115" s="1" t="s">
        <v>27</v>
      </c>
      <c r="R115" s="3">
        <v>44446</v>
      </c>
      <c r="S115" s="20">
        <v>449.95</v>
      </c>
      <c r="T115" s="23">
        <f t="shared" ca="1" si="3"/>
        <v>46057</v>
      </c>
      <c r="U115" s="26">
        <f t="shared" ca="1" si="4"/>
        <v>46057.595634259262</v>
      </c>
      <c r="V115" s="25">
        <f ca="1">DATEDIF(Table1[[#This Row],[Date]],TODAY(),"d")</f>
        <v>503</v>
      </c>
      <c r="W115" s="28">
        <f>EOMONTH(Table1[[#This Row],[Date]],0)</f>
        <v>45565</v>
      </c>
      <c r="X115" s="26">
        <f t="shared" ca="1" si="5"/>
        <v>46040.622929282406</v>
      </c>
    </row>
    <row r="116" spans="1:24" ht="15.75" thickBot="1" x14ac:dyDescent="0.3">
      <c r="A116" s="5" t="s">
        <v>251</v>
      </c>
      <c r="B116" s="3">
        <v>45554</v>
      </c>
      <c r="C116" s="12" t="str">
        <f>TEXT(Table1[[#This Row],[Date]],"mmm")</f>
        <v>Sep</v>
      </c>
      <c r="D116" s="12">
        <f>YEAR(Table1[[#This Row],[Date]])</f>
        <v>2024</v>
      </c>
      <c r="E116" s="3" t="str">
        <f>TEXT(Table1[[#This Row],[Date]],"mmm-yyyy")</f>
        <v>Sep-2024</v>
      </c>
      <c r="F116" s="1" t="s">
        <v>252</v>
      </c>
      <c r="G116" s="1" t="s">
        <v>253</v>
      </c>
      <c r="H116" s="1" t="str">
        <f>LEFT(Table1[[#This Row],[Customer_Name]],1)&amp;LEFT(MID(Table1[[#This Row],[Customer_Name]],FIND(" ",Table1[[#This Row],[Customer_Name]])+1,50),1)</f>
        <v>WW</v>
      </c>
      <c r="I116" s="1" t="s">
        <v>52</v>
      </c>
      <c r="J116" s="1" t="s">
        <v>53</v>
      </c>
      <c r="K116" s="1" t="s">
        <v>19</v>
      </c>
      <c r="L116" s="12">
        <v>1</v>
      </c>
      <c r="M116" s="16">
        <v>149.99</v>
      </c>
      <c r="N116" s="1" t="s">
        <v>34</v>
      </c>
      <c r="O116" s="1" t="s">
        <v>63</v>
      </c>
      <c r="P116" s="1" t="str">
        <f>UPPER(LEFT(Table1[[#This Row],[Region]],2))</f>
        <v>EA</v>
      </c>
      <c r="Q116" s="1" t="s">
        <v>36</v>
      </c>
      <c r="R116" s="3">
        <v>44482</v>
      </c>
      <c r="S116" s="20">
        <v>149.99</v>
      </c>
      <c r="T116" s="23">
        <f t="shared" ca="1" si="3"/>
        <v>46057</v>
      </c>
      <c r="U116" s="26">
        <f t="shared" ca="1" si="4"/>
        <v>46057.595634259262</v>
      </c>
      <c r="V116" s="25">
        <f ca="1">DATEDIF(Table1[[#This Row],[Date]],TODAY(),"d")</f>
        <v>503</v>
      </c>
      <c r="W116" s="28">
        <f>EOMONTH(Table1[[#This Row],[Date]],0)</f>
        <v>45565</v>
      </c>
      <c r="X116" s="26">
        <f t="shared" ca="1" si="5"/>
        <v>46040.622929282406</v>
      </c>
    </row>
    <row r="117" spans="1:24" ht="15.75" thickBot="1" x14ac:dyDescent="0.3">
      <c r="A117" s="5" t="s">
        <v>254</v>
      </c>
      <c r="B117" s="3">
        <v>45554</v>
      </c>
      <c r="C117" s="12" t="str">
        <f>TEXT(Table1[[#This Row],[Date]],"mmm")</f>
        <v>Sep</v>
      </c>
      <c r="D117" s="12">
        <f>YEAR(Table1[[#This Row],[Date]])</f>
        <v>2024</v>
      </c>
      <c r="E117" s="3" t="str">
        <f>TEXT(Table1[[#This Row],[Date]],"mmm-yyyy")</f>
        <v>Sep-2024</v>
      </c>
      <c r="F117" s="1" t="s">
        <v>72</v>
      </c>
      <c r="G117" s="1" t="s">
        <v>73</v>
      </c>
      <c r="H117" s="1" t="str">
        <f>LEFT(Table1[[#This Row],[Customer_Name]],1)&amp;LEFT(MID(Table1[[#This Row],[Customer_Name]],FIND(" ",Table1[[#This Row],[Customer_Name]])+1,50),1)</f>
        <v>PR</v>
      </c>
      <c r="I117" s="1" t="s">
        <v>80</v>
      </c>
      <c r="J117" s="1" t="s">
        <v>81</v>
      </c>
      <c r="K117" s="1" t="s">
        <v>19</v>
      </c>
      <c r="L117" s="12">
        <v>4</v>
      </c>
      <c r="M117" s="16">
        <v>699.99</v>
      </c>
      <c r="N117" s="1" t="s">
        <v>34</v>
      </c>
      <c r="O117" s="1" t="s">
        <v>35</v>
      </c>
      <c r="P117" s="1" t="str">
        <f>UPPER(LEFT(Table1[[#This Row],[Region]],2))</f>
        <v>SO</v>
      </c>
      <c r="Q117" s="1" t="s">
        <v>22</v>
      </c>
      <c r="R117" s="3">
        <v>44618</v>
      </c>
      <c r="S117" s="20">
        <v>2799.96</v>
      </c>
      <c r="T117" s="23">
        <f t="shared" ca="1" si="3"/>
        <v>46057</v>
      </c>
      <c r="U117" s="26">
        <f t="shared" ca="1" si="4"/>
        <v>46057.595634259262</v>
      </c>
      <c r="V117" s="25">
        <f ca="1">DATEDIF(Table1[[#This Row],[Date]],TODAY(),"d")</f>
        <v>503</v>
      </c>
      <c r="W117" s="28">
        <f>EOMONTH(Table1[[#This Row],[Date]],0)</f>
        <v>45565</v>
      </c>
      <c r="X117" s="26">
        <f t="shared" ca="1" si="5"/>
        <v>46040.622929282406</v>
      </c>
    </row>
    <row r="118" spans="1:24" ht="15.75" thickBot="1" x14ac:dyDescent="0.3">
      <c r="A118" s="5" t="s">
        <v>255</v>
      </c>
      <c r="B118" s="3">
        <v>45559</v>
      </c>
      <c r="C118" s="12" t="str">
        <f>TEXT(Table1[[#This Row],[Date]],"mmm")</f>
        <v>Sep</v>
      </c>
      <c r="D118" s="12">
        <f>YEAR(Table1[[#This Row],[Date]])</f>
        <v>2024</v>
      </c>
      <c r="E118" s="3" t="str">
        <f>TEXT(Table1[[#This Row],[Date]],"mmm-yyyy")</f>
        <v>Sep-2024</v>
      </c>
      <c r="F118" s="1" t="s">
        <v>234</v>
      </c>
      <c r="G118" s="1" t="s">
        <v>235</v>
      </c>
      <c r="H118" s="1" t="str">
        <f>LEFT(Table1[[#This Row],[Customer_Name]],1)&amp;LEFT(MID(Table1[[#This Row],[Customer_Name]],FIND(" ",Table1[[#This Row],[Customer_Name]])+1,50),1)</f>
        <v>SP</v>
      </c>
      <c r="I118" s="1" t="s">
        <v>61</v>
      </c>
      <c r="J118" s="1" t="s">
        <v>62</v>
      </c>
      <c r="K118" s="1" t="s">
        <v>19</v>
      </c>
      <c r="L118" s="12">
        <v>3</v>
      </c>
      <c r="M118" s="16">
        <v>899.99</v>
      </c>
      <c r="N118" s="1" t="s">
        <v>26</v>
      </c>
      <c r="O118" s="1" t="s">
        <v>40</v>
      </c>
      <c r="P118" s="1" t="str">
        <f>UPPER(LEFT(Table1[[#This Row],[Region]],2))</f>
        <v>NO</v>
      </c>
      <c r="Q118" s="1" t="s">
        <v>36</v>
      </c>
      <c r="R118" s="3">
        <v>45157</v>
      </c>
      <c r="S118" s="20">
        <v>2699.97</v>
      </c>
      <c r="T118" s="23">
        <f t="shared" ca="1" si="3"/>
        <v>46057</v>
      </c>
      <c r="U118" s="26">
        <f t="shared" ca="1" si="4"/>
        <v>46057.595634259262</v>
      </c>
      <c r="V118" s="25">
        <f ca="1">DATEDIF(Table1[[#This Row],[Date]],TODAY(),"d")</f>
        <v>498</v>
      </c>
      <c r="W118" s="28">
        <f>EOMONTH(Table1[[#This Row],[Date]],0)</f>
        <v>45565</v>
      </c>
      <c r="X118" s="26">
        <f t="shared" ca="1" si="5"/>
        <v>46040.622929282406</v>
      </c>
    </row>
    <row r="119" spans="1:24" ht="15.75" thickBot="1" x14ac:dyDescent="0.3">
      <c r="A119" s="5" t="s">
        <v>256</v>
      </c>
      <c r="B119" s="3">
        <v>45560</v>
      </c>
      <c r="C119" s="12" t="str">
        <f>TEXT(Table1[[#This Row],[Date]],"mmm")</f>
        <v>Sep</v>
      </c>
      <c r="D119" s="12">
        <f>YEAR(Table1[[#This Row],[Date]])</f>
        <v>2024</v>
      </c>
      <c r="E119" s="3" t="str">
        <f>TEXT(Table1[[#This Row],[Date]],"mmm-yyyy")</f>
        <v>Sep-2024</v>
      </c>
      <c r="F119" s="1" t="s">
        <v>112</v>
      </c>
      <c r="G119" s="1" t="s">
        <v>113</v>
      </c>
      <c r="H119" s="1" t="str">
        <f>LEFT(Table1[[#This Row],[Customer_Name]],1)&amp;LEFT(MID(Table1[[#This Row],[Customer_Name]],FIND(" ",Table1[[#This Row],[Customer_Name]])+1,50),1)</f>
        <v>LM</v>
      </c>
      <c r="I119" s="1" t="s">
        <v>44</v>
      </c>
      <c r="J119" s="1" t="s">
        <v>45</v>
      </c>
      <c r="K119" s="1" t="s">
        <v>46</v>
      </c>
      <c r="L119" s="12">
        <v>3</v>
      </c>
      <c r="M119" s="16">
        <v>149.99</v>
      </c>
      <c r="N119" s="1" t="s">
        <v>34</v>
      </c>
      <c r="O119" s="1" t="s">
        <v>63</v>
      </c>
      <c r="P119" s="1" t="str">
        <f>UPPER(LEFT(Table1[[#This Row],[Region]],2))</f>
        <v>EA</v>
      </c>
      <c r="Q119" s="1" t="s">
        <v>22</v>
      </c>
      <c r="R119" s="3">
        <v>44886</v>
      </c>
      <c r="S119" s="20">
        <v>449.97</v>
      </c>
      <c r="T119" s="23">
        <f t="shared" ca="1" si="3"/>
        <v>46057</v>
      </c>
      <c r="U119" s="26">
        <f t="shared" ca="1" si="4"/>
        <v>46057.595634259262</v>
      </c>
      <c r="V119" s="25">
        <f ca="1">DATEDIF(Table1[[#This Row],[Date]],TODAY(),"d")</f>
        <v>497</v>
      </c>
      <c r="W119" s="28">
        <f>EOMONTH(Table1[[#This Row],[Date]],0)</f>
        <v>45565</v>
      </c>
      <c r="X119" s="26">
        <f t="shared" ca="1" si="5"/>
        <v>46040.622929282406</v>
      </c>
    </row>
    <row r="120" spans="1:24" ht="15.75" thickBot="1" x14ac:dyDescent="0.3">
      <c r="A120" s="5" t="s">
        <v>257</v>
      </c>
      <c r="B120" s="3">
        <v>45563</v>
      </c>
      <c r="C120" s="12" t="str">
        <f>TEXT(Table1[[#This Row],[Date]],"mmm")</f>
        <v>Sep</v>
      </c>
      <c r="D120" s="12">
        <f>YEAR(Table1[[#This Row],[Date]])</f>
        <v>2024</v>
      </c>
      <c r="E120" s="3" t="str">
        <f>TEXT(Table1[[#This Row],[Date]],"mmm-yyyy")</f>
        <v>Sep-2024</v>
      </c>
      <c r="F120" s="1" t="s">
        <v>99</v>
      </c>
      <c r="G120" s="1" t="s">
        <v>100</v>
      </c>
      <c r="H120" s="1" t="str">
        <f>LEFT(Table1[[#This Row],[Customer_Name]],1)&amp;LEFT(MID(Table1[[#This Row],[Customer_Name]],FIND(" ",Table1[[#This Row],[Customer_Name]])+1,50),1)</f>
        <v>PM</v>
      </c>
      <c r="I120" s="1" t="s">
        <v>105</v>
      </c>
      <c r="J120" s="1" t="s">
        <v>106</v>
      </c>
      <c r="K120" s="1" t="s">
        <v>46</v>
      </c>
      <c r="L120" s="12">
        <v>2</v>
      </c>
      <c r="M120" s="16">
        <v>299.99</v>
      </c>
      <c r="N120" s="1" t="s">
        <v>57</v>
      </c>
      <c r="O120" s="1" t="s">
        <v>21</v>
      </c>
      <c r="P120" s="1" t="str">
        <f>UPPER(LEFT(Table1[[#This Row],[Region]],2))</f>
        <v>CE</v>
      </c>
      <c r="Q120" s="1" t="s">
        <v>22</v>
      </c>
      <c r="R120" s="3">
        <v>44569</v>
      </c>
      <c r="S120" s="20">
        <v>599.98</v>
      </c>
      <c r="T120" s="23">
        <f t="shared" ca="1" si="3"/>
        <v>46057</v>
      </c>
      <c r="U120" s="26">
        <f t="shared" ca="1" si="4"/>
        <v>46057.595634259262</v>
      </c>
      <c r="V120" s="25">
        <f ca="1">DATEDIF(Table1[[#This Row],[Date]],TODAY(),"d")</f>
        <v>494</v>
      </c>
      <c r="W120" s="28">
        <f>EOMONTH(Table1[[#This Row],[Date]],0)</f>
        <v>45565</v>
      </c>
      <c r="X120" s="26">
        <f t="shared" ca="1" si="5"/>
        <v>46040.622929282406</v>
      </c>
    </row>
    <row r="121" spans="1:24" ht="15.75" thickBot="1" x14ac:dyDescent="0.3">
      <c r="A121" s="5" t="s">
        <v>258</v>
      </c>
      <c r="B121" s="3">
        <v>45564</v>
      </c>
      <c r="C121" s="12" t="str">
        <f>TEXT(Table1[[#This Row],[Date]],"mmm")</f>
        <v>Sep</v>
      </c>
      <c r="D121" s="12">
        <f>YEAR(Table1[[#This Row],[Date]])</f>
        <v>2024</v>
      </c>
      <c r="E121" s="3" t="str">
        <f>TEXT(Table1[[#This Row],[Date]],"mmm-yyyy")</f>
        <v>Sep-2024</v>
      </c>
      <c r="F121" s="1" t="s">
        <v>259</v>
      </c>
      <c r="G121" s="1" t="s">
        <v>260</v>
      </c>
      <c r="H121" s="1" t="str">
        <f>LEFT(Table1[[#This Row],[Customer_Name]],1)&amp;LEFT(MID(Table1[[#This Row],[Customer_Name]],FIND(" ",Table1[[#This Row],[Customer_Name]])+1,50),1)</f>
        <v>RL</v>
      </c>
      <c r="I121" s="1" t="s">
        <v>126</v>
      </c>
      <c r="J121" s="1" t="s">
        <v>127</v>
      </c>
      <c r="K121" s="1" t="s">
        <v>46</v>
      </c>
      <c r="L121" s="12">
        <v>1</v>
      </c>
      <c r="M121" s="16">
        <v>199.99</v>
      </c>
      <c r="N121" s="1" t="s">
        <v>57</v>
      </c>
      <c r="O121" s="1" t="s">
        <v>63</v>
      </c>
      <c r="P121" s="1" t="str">
        <f>UPPER(LEFT(Table1[[#This Row],[Region]],2))</f>
        <v>EA</v>
      </c>
      <c r="Q121" s="1" t="s">
        <v>36</v>
      </c>
      <c r="R121" s="3">
        <v>44953</v>
      </c>
      <c r="S121" s="20">
        <v>199.99</v>
      </c>
      <c r="T121" s="23">
        <f t="shared" ca="1" si="3"/>
        <v>46057</v>
      </c>
      <c r="U121" s="26">
        <f t="shared" ca="1" si="4"/>
        <v>46057.595634259262</v>
      </c>
      <c r="V121" s="25">
        <f ca="1">DATEDIF(Table1[[#This Row],[Date]],TODAY(),"d")</f>
        <v>493</v>
      </c>
      <c r="W121" s="28">
        <f>EOMONTH(Table1[[#This Row],[Date]],0)</f>
        <v>45565</v>
      </c>
      <c r="X121" s="26">
        <f t="shared" ca="1" si="5"/>
        <v>46040.622929282406</v>
      </c>
    </row>
    <row r="122" spans="1:24" ht="15.75" thickBot="1" x14ac:dyDescent="0.3">
      <c r="A122" s="5" t="s">
        <v>261</v>
      </c>
      <c r="B122" s="3">
        <v>45566</v>
      </c>
      <c r="C122" s="12" t="str">
        <f>TEXT(Table1[[#This Row],[Date]],"mmm")</f>
        <v>Oct</v>
      </c>
      <c r="D122" s="12">
        <f>YEAR(Table1[[#This Row],[Date]])</f>
        <v>2024</v>
      </c>
      <c r="E122" s="3" t="str">
        <f>TEXT(Table1[[#This Row],[Date]],"mmm-yyyy")</f>
        <v>Oct-2024</v>
      </c>
      <c r="F122" s="1" t="s">
        <v>42</v>
      </c>
      <c r="G122" s="1" t="s">
        <v>43</v>
      </c>
      <c r="H122" s="1" t="str">
        <f>LEFT(Table1[[#This Row],[Customer_Name]],1)&amp;LEFT(MID(Table1[[#This Row],[Customer_Name]],FIND(" ",Table1[[#This Row],[Customer_Name]])+1,50),1)</f>
        <v>MB</v>
      </c>
      <c r="I122" s="1" t="s">
        <v>105</v>
      </c>
      <c r="J122" s="1" t="s">
        <v>106</v>
      </c>
      <c r="K122" s="1" t="s">
        <v>46</v>
      </c>
      <c r="L122" s="12">
        <v>4</v>
      </c>
      <c r="M122" s="16">
        <v>299.99</v>
      </c>
      <c r="N122" s="1" t="s">
        <v>20</v>
      </c>
      <c r="O122" s="1" t="s">
        <v>21</v>
      </c>
      <c r="P122" s="1" t="str">
        <f>UPPER(LEFT(Table1[[#This Row],[Region]],2))</f>
        <v>CE</v>
      </c>
      <c r="Q122" s="1" t="s">
        <v>27</v>
      </c>
      <c r="R122" s="3">
        <v>44460</v>
      </c>
      <c r="S122" s="20">
        <v>1199.96</v>
      </c>
      <c r="T122" s="23">
        <f t="shared" ca="1" si="3"/>
        <v>46057</v>
      </c>
      <c r="U122" s="26">
        <f t="shared" ca="1" si="4"/>
        <v>46057.595634259262</v>
      </c>
      <c r="V122" s="25">
        <f ca="1">DATEDIF(Table1[[#This Row],[Date]],TODAY(),"d")</f>
        <v>491</v>
      </c>
      <c r="W122" s="28">
        <f>EOMONTH(Table1[[#This Row],[Date]],0)</f>
        <v>45596</v>
      </c>
      <c r="X122" s="26">
        <f t="shared" ca="1" si="5"/>
        <v>46040.622929282406</v>
      </c>
    </row>
    <row r="123" spans="1:24" ht="15.75" thickBot="1" x14ac:dyDescent="0.3">
      <c r="A123" s="5" t="s">
        <v>262</v>
      </c>
      <c r="B123" s="3">
        <v>45572</v>
      </c>
      <c r="C123" s="12" t="str">
        <f>TEXT(Table1[[#This Row],[Date]],"mmm")</f>
        <v>Oct</v>
      </c>
      <c r="D123" s="12">
        <f>YEAR(Table1[[#This Row],[Date]])</f>
        <v>2024</v>
      </c>
      <c r="E123" s="3" t="str">
        <f>TEXT(Table1[[#This Row],[Date]],"mmm-yyyy")</f>
        <v>Oct-2024</v>
      </c>
      <c r="F123" s="1" t="s">
        <v>89</v>
      </c>
      <c r="G123" s="1" t="s">
        <v>90</v>
      </c>
      <c r="H123" s="1" t="str">
        <f>LEFT(Table1[[#This Row],[Customer_Name]],1)&amp;LEFT(MID(Table1[[#This Row],[Customer_Name]],FIND(" ",Table1[[#This Row],[Customer_Name]])+1,50),1)</f>
        <v>MG</v>
      </c>
      <c r="I123" s="1" t="s">
        <v>31</v>
      </c>
      <c r="J123" s="1" t="s">
        <v>32</v>
      </c>
      <c r="K123" s="1" t="s">
        <v>33</v>
      </c>
      <c r="L123" s="12">
        <v>2</v>
      </c>
      <c r="M123" s="16">
        <v>59.99</v>
      </c>
      <c r="N123" s="1" t="s">
        <v>26</v>
      </c>
      <c r="O123" s="1" t="s">
        <v>21</v>
      </c>
      <c r="P123" s="1" t="str">
        <f>UPPER(LEFT(Table1[[#This Row],[Region]],2))</f>
        <v>CE</v>
      </c>
      <c r="Q123" s="1" t="s">
        <v>22</v>
      </c>
      <c r="R123" s="3">
        <v>44579</v>
      </c>
      <c r="S123" s="20">
        <v>119.98</v>
      </c>
      <c r="T123" s="23">
        <f t="shared" ca="1" si="3"/>
        <v>46057</v>
      </c>
      <c r="U123" s="26">
        <f t="shared" ca="1" si="4"/>
        <v>46057.595634259262</v>
      </c>
      <c r="V123" s="25">
        <f ca="1">DATEDIF(Table1[[#This Row],[Date]],TODAY(),"d")</f>
        <v>485</v>
      </c>
      <c r="W123" s="28">
        <f>EOMONTH(Table1[[#This Row],[Date]],0)</f>
        <v>45596</v>
      </c>
      <c r="X123" s="26">
        <f t="shared" ca="1" si="5"/>
        <v>46040.622929282406</v>
      </c>
    </row>
    <row r="124" spans="1:24" ht="15.75" thickBot="1" x14ac:dyDescent="0.3">
      <c r="A124" s="5" t="s">
        <v>263</v>
      </c>
      <c r="B124" s="3">
        <v>45572</v>
      </c>
      <c r="C124" s="12" t="str">
        <f>TEXT(Table1[[#This Row],[Date]],"mmm")</f>
        <v>Oct</v>
      </c>
      <c r="D124" s="12">
        <f>YEAR(Table1[[#This Row],[Date]])</f>
        <v>2024</v>
      </c>
      <c r="E124" s="3" t="str">
        <f>TEXT(Table1[[#This Row],[Date]],"mmm-yyyy")</f>
        <v>Oct-2024</v>
      </c>
      <c r="F124" s="1" t="s">
        <v>234</v>
      </c>
      <c r="G124" s="1" t="s">
        <v>235</v>
      </c>
      <c r="H124" s="1" t="str">
        <f>LEFT(Table1[[#This Row],[Customer_Name]],1)&amp;LEFT(MID(Table1[[#This Row],[Customer_Name]],FIND(" ",Table1[[#This Row],[Customer_Name]])+1,50),1)</f>
        <v>SP</v>
      </c>
      <c r="I124" s="1" t="s">
        <v>52</v>
      </c>
      <c r="J124" s="1" t="s">
        <v>53</v>
      </c>
      <c r="K124" s="1" t="s">
        <v>19</v>
      </c>
      <c r="L124" s="12">
        <v>4</v>
      </c>
      <c r="M124" s="16">
        <v>149.99</v>
      </c>
      <c r="N124" s="1" t="s">
        <v>26</v>
      </c>
      <c r="O124" s="1" t="s">
        <v>40</v>
      </c>
      <c r="P124" s="1" t="str">
        <f>UPPER(LEFT(Table1[[#This Row],[Region]],2))</f>
        <v>NO</v>
      </c>
      <c r="Q124" s="1" t="s">
        <v>27</v>
      </c>
      <c r="R124" s="3">
        <v>45076</v>
      </c>
      <c r="S124" s="20">
        <v>599.96</v>
      </c>
      <c r="T124" s="23">
        <f t="shared" ca="1" si="3"/>
        <v>46057</v>
      </c>
      <c r="U124" s="26">
        <f t="shared" ca="1" si="4"/>
        <v>46057.595634259262</v>
      </c>
      <c r="V124" s="25">
        <f ca="1">DATEDIF(Table1[[#This Row],[Date]],TODAY(),"d")</f>
        <v>485</v>
      </c>
      <c r="W124" s="28">
        <f>EOMONTH(Table1[[#This Row],[Date]],0)</f>
        <v>45596</v>
      </c>
      <c r="X124" s="26">
        <f t="shared" ca="1" si="5"/>
        <v>46040.622929282406</v>
      </c>
    </row>
    <row r="125" spans="1:24" ht="15.75" thickBot="1" x14ac:dyDescent="0.3">
      <c r="A125" s="5" t="s">
        <v>264</v>
      </c>
      <c r="B125" s="3">
        <v>45573</v>
      </c>
      <c r="C125" s="12" t="str">
        <f>TEXT(Table1[[#This Row],[Date]],"mmm")</f>
        <v>Oct</v>
      </c>
      <c r="D125" s="12">
        <f>YEAR(Table1[[#This Row],[Date]])</f>
        <v>2024</v>
      </c>
      <c r="E125" s="3" t="str">
        <f>TEXT(Table1[[#This Row],[Date]],"mmm-yyyy")</f>
        <v>Oct-2024</v>
      </c>
      <c r="F125" s="1" t="s">
        <v>211</v>
      </c>
      <c r="G125" s="1" t="s">
        <v>212</v>
      </c>
      <c r="H125" s="1" t="str">
        <f>LEFT(Table1[[#This Row],[Customer_Name]],1)&amp;LEFT(MID(Table1[[#This Row],[Customer_Name]],FIND(" ",Table1[[#This Row],[Customer_Name]])+1,50),1)</f>
        <v>EH</v>
      </c>
      <c r="I125" s="1" t="s">
        <v>80</v>
      </c>
      <c r="J125" s="1" t="s">
        <v>81</v>
      </c>
      <c r="K125" s="1" t="s">
        <v>19</v>
      </c>
      <c r="L125" s="12">
        <v>2</v>
      </c>
      <c r="M125" s="16">
        <v>699.99</v>
      </c>
      <c r="N125" s="1" t="s">
        <v>57</v>
      </c>
      <c r="O125" s="1" t="s">
        <v>63</v>
      </c>
      <c r="P125" s="1" t="str">
        <f>UPPER(LEFT(Table1[[#This Row],[Region]],2))</f>
        <v>EA</v>
      </c>
      <c r="Q125" s="1" t="s">
        <v>27</v>
      </c>
      <c r="R125" s="3">
        <v>45274</v>
      </c>
      <c r="S125" s="20">
        <v>1399.98</v>
      </c>
      <c r="T125" s="23">
        <f t="shared" ca="1" si="3"/>
        <v>46057</v>
      </c>
      <c r="U125" s="26">
        <f t="shared" ca="1" si="4"/>
        <v>46057.595634259262</v>
      </c>
      <c r="V125" s="25">
        <f ca="1">DATEDIF(Table1[[#This Row],[Date]],TODAY(),"d")</f>
        <v>484</v>
      </c>
      <c r="W125" s="28">
        <f>EOMONTH(Table1[[#This Row],[Date]],0)</f>
        <v>45596</v>
      </c>
      <c r="X125" s="26">
        <f t="shared" ca="1" si="5"/>
        <v>46040.622929282406</v>
      </c>
    </row>
    <row r="126" spans="1:24" ht="15.75" thickBot="1" x14ac:dyDescent="0.3">
      <c r="A126" s="5" t="s">
        <v>265</v>
      </c>
      <c r="B126" s="3">
        <v>45573</v>
      </c>
      <c r="C126" s="12" t="str">
        <f>TEXT(Table1[[#This Row],[Date]],"mmm")</f>
        <v>Oct</v>
      </c>
      <c r="D126" s="12">
        <f>YEAR(Table1[[#This Row],[Date]])</f>
        <v>2024</v>
      </c>
      <c r="E126" s="3" t="str">
        <f>TEXT(Table1[[#This Row],[Date]],"mmm-yyyy")</f>
        <v>Oct-2024</v>
      </c>
      <c r="F126" s="1" t="s">
        <v>231</v>
      </c>
      <c r="G126" s="1" t="s">
        <v>232</v>
      </c>
      <c r="H126" s="1" t="str">
        <f>LEFT(Table1[[#This Row],[Customer_Name]],1)&amp;LEFT(MID(Table1[[#This Row],[Customer_Name]],FIND(" ",Table1[[#This Row],[Customer_Name]])+1,50),1)</f>
        <v>CE</v>
      </c>
      <c r="I126" s="1" t="s">
        <v>44</v>
      </c>
      <c r="J126" s="1" t="s">
        <v>45</v>
      </c>
      <c r="K126" s="1" t="s">
        <v>46</v>
      </c>
      <c r="L126" s="12">
        <v>3</v>
      </c>
      <c r="M126" s="16">
        <v>149.99</v>
      </c>
      <c r="N126" s="1" t="s">
        <v>26</v>
      </c>
      <c r="O126" s="1" t="s">
        <v>35</v>
      </c>
      <c r="P126" s="1" t="str">
        <f>UPPER(LEFT(Table1[[#This Row],[Region]],2))</f>
        <v>SO</v>
      </c>
      <c r="Q126" s="1" t="s">
        <v>36</v>
      </c>
      <c r="R126" s="3">
        <v>44940</v>
      </c>
      <c r="S126" s="20">
        <v>449.97</v>
      </c>
      <c r="T126" s="23">
        <f t="shared" ca="1" si="3"/>
        <v>46057</v>
      </c>
      <c r="U126" s="26">
        <f t="shared" ca="1" si="4"/>
        <v>46057.595634259262</v>
      </c>
      <c r="V126" s="25">
        <f ca="1">DATEDIF(Table1[[#This Row],[Date]],TODAY(),"d")</f>
        <v>484</v>
      </c>
      <c r="W126" s="28">
        <f>EOMONTH(Table1[[#This Row],[Date]],0)</f>
        <v>45596</v>
      </c>
      <c r="X126" s="26">
        <f t="shared" ca="1" si="5"/>
        <v>46040.622929282406</v>
      </c>
    </row>
    <row r="127" spans="1:24" ht="15.75" thickBot="1" x14ac:dyDescent="0.3">
      <c r="A127" s="5" t="s">
        <v>266</v>
      </c>
      <c r="B127" s="3">
        <v>45576</v>
      </c>
      <c r="C127" s="12" t="str">
        <f>TEXT(Table1[[#This Row],[Date]],"mmm")</f>
        <v>Oct</v>
      </c>
      <c r="D127" s="12">
        <f>YEAR(Table1[[#This Row],[Date]])</f>
        <v>2024</v>
      </c>
      <c r="E127" s="3" t="str">
        <f>TEXT(Table1[[#This Row],[Date]],"mmm-yyyy")</f>
        <v>Oct-2024</v>
      </c>
      <c r="F127" s="1" t="s">
        <v>147</v>
      </c>
      <c r="G127" s="1" t="s">
        <v>148</v>
      </c>
      <c r="H127" s="1" t="str">
        <f>LEFT(Table1[[#This Row],[Customer_Name]],1)&amp;LEFT(MID(Table1[[#This Row],[Customer_Name]],FIND(" ",Table1[[#This Row],[Customer_Name]])+1,50),1)</f>
        <v>DK</v>
      </c>
      <c r="I127" s="1" t="s">
        <v>105</v>
      </c>
      <c r="J127" s="1" t="s">
        <v>106</v>
      </c>
      <c r="K127" s="1" t="s">
        <v>46</v>
      </c>
      <c r="L127" s="12">
        <v>3</v>
      </c>
      <c r="M127" s="16">
        <v>299.99</v>
      </c>
      <c r="N127" s="1" t="s">
        <v>26</v>
      </c>
      <c r="O127" s="1" t="s">
        <v>21</v>
      </c>
      <c r="P127" s="1" t="str">
        <f>UPPER(LEFT(Table1[[#This Row],[Region]],2))</f>
        <v>CE</v>
      </c>
      <c r="Q127" s="1" t="s">
        <v>36</v>
      </c>
      <c r="R127" s="3">
        <v>45174</v>
      </c>
      <c r="S127" s="20">
        <v>899.97</v>
      </c>
      <c r="T127" s="23">
        <f t="shared" ca="1" si="3"/>
        <v>46057</v>
      </c>
      <c r="U127" s="26">
        <f t="shared" ca="1" si="4"/>
        <v>46057.595634259262</v>
      </c>
      <c r="V127" s="25">
        <f ca="1">DATEDIF(Table1[[#This Row],[Date]],TODAY(),"d")</f>
        <v>481</v>
      </c>
      <c r="W127" s="28">
        <f>EOMONTH(Table1[[#This Row],[Date]],0)</f>
        <v>45596</v>
      </c>
      <c r="X127" s="26">
        <f t="shared" ca="1" si="5"/>
        <v>46040.622929282406</v>
      </c>
    </row>
    <row r="128" spans="1:24" ht="15.75" thickBot="1" x14ac:dyDescent="0.3">
      <c r="A128" s="5" t="s">
        <v>267</v>
      </c>
      <c r="B128" s="3">
        <v>45579</v>
      </c>
      <c r="C128" s="12" t="str">
        <f>TEXT(Table1[[#This Row],[Date]],"mmm")</f>
        <v>Oct</v>
      </c>
      <c r="D128" s="12">
        <f>YEAR(Table1[[#This Row],[Date]])</f>
        <v>2024</v>
      </c>
      <c r="E128" s="3" t="str">
        <f>TEXT(Table1[[#This Row],[Date]],"mmm-yyyy")</f>
        <v>Oct-2024</v>
      </c>
      <c r="F128" s="1" t="s">
        <v>83</v>
      </c>
      <c r="G128" s="1" t="s">
        <v>84</v>
      </c>
      <c r="H128" s="1" t="str">
        <f>LEFT(Table1[[#This Row],[Customer_Name]],1)&amp;LEFT(MID(Table1[[#This Row],[Customer_Name]],FIND(" ",Table1[[#This Row],[Customer_Name]])+1,50),1)</f>
        <v>GA</v>
      </c>
      <c r="I128" s="1" t="s">
        <v>61</v>
      </c>
      <c r="J128" s="1" t="s">
        <v>62</v>
      </c>
      <c r="K128" s="1" t="s">
        <v>19</v>
      </c>
      <c r="L128" s="12">
        <v>3</v>
      </c>
      <c r="M128" s="16">
        <v>899.99</v>
      </c>
      <c r="N128" s="1" t="s">
        <v>34</v>
      </c>
      <c r="O128" s="1" t="s">
        <v>50</v>
      </c>
      <c r="P128" s="1" t="str">
        <f>UPPER(LEFT(Table1[[#This Row],[Region]],2))</f>
        <v>WE</v>
      </c>
      <c r="Q128" s="1" t="s">
        <v>22</v>
      </c>
      <c r="R128" s="3">
        <v>45215</v>
      </c>
      <c r="S128" s="20">
        <v>2699.97</v>
      </c>
      <c r="T128" s="23">
        <f t="shared" ca="1" si="3"/>
        <v>46057</v>
      </c>
      <c r="U128" s="26">
        <f t="shared" ca="1" si="4"/>
        <v>46057.595634259262</v>
      </c>
      <c r="V128" s="25">
        <f ca="1">DATEDIF(Table1[[#This Row],[Date]],TODAY(),"d")</f>
        <v>478</v>
      </c>
      <c r="W128" s="28">
        <f>EOMONTH(Table1[[#This Row],[Date]],0)</f>
        <v>45596</v>
      </c>
      <c r="X128" s="26">
        <f t="shared" ca="1" si="5"/>
        <v>46040.622929282406</v>
      </c>
    </row>
    <row r="129" spans="1:24" ht="15.75" thickBot="1" x14ac:dyDescent="0.3">
      <c r="A129" s="5" t="s">
        <v>268</v>
      </c>
      <c r="B129" s="3">
        <v>45581</v>
      </c>
      <c r="C129" s="12" t="str">
        <f>TEXT(Table1[[#This Row],[Date]],"mmm")</f>
        <v>Oct</v>
      </c>
      <c r="D129" s="12">
        <f>YEAR(Table1[[#This Row],[Date]])</f>
        <v>2024</v>
      </c>
      <c r="E129" s="3" t="str">
        <f>TEXT(Table1[[#This Row],[Date]],"mmm-yyyy")</f>
        <v>Oct-2024</v>
      </c>
      <c r="F129" s="1" t="s">
        <v>96</v>
      </c>
      <c r="G129" s="1" t="s">
        <v>97</v>
      </c>
      <c r="H129" s="1" t="str">
        <f>LEFT(Table1[[#This Row],[Customer_Name]],1)&amp;LEFT(MID(Table1[[#This Row],[Customer_Name]],FIND(" ",Table1[[#This Row],[Customer_Name]])+1,50),1)</f>
        <v>BY</v>
      </c>
      <c r="I129" s="1" t="s">
        <v>80</v>
      </c>
      <c r="J129" s="1" t="s">
        <v>81</v>
      </c>
      <c r="K129" s="1" t="s">
        <v>19</v>
      </c>
      <c r="L129" s="12">
        <v>5</v>
      </c>
      <c r="M129" s="16">
        <v>699.99</v>
      </c>
      <c r="N129" s="1" t="s">
        <v>20</v>
      </c>
      <c r="O129" s="1" t="s">
        <v>63</v>
      </c>
      <c r="P129" s="1" t="str">
        <f>UPPER(LEFT(Table1[[#This Row],[Region]],2))</f>
        <v>EA</v>
      </c>
      <c r="Q129" s="1" t="s">
        <v>36</v>
      </c>
      <c r="R129" s="3">
        <v>45008</v>
      </c>
      <c r="S129" s="20">
        <v>3499.95</v>
      </c>
      <c r="T129" s="23">
        <f t="shared" ca="1" si="3"/>
        <v>46057</v>
      </c>
      <c r="U129" s="26">
        <f t="shared" ca="1" si="4"/>
        <v>46057.595634259262</v>
      </c>
      <c r="V129" s="25">
        <f ca="1">DATEDIF(Table1[[#This Row],[Date]],TODAY(),"d")</f>
        <v>476</v>
      </c>
      <c r="W129" s="28">
        <f>EOMONTH(Table1[[#This Row],[Date]],0)</f>
        <v>45596</v>
      </c>
      <c r="X129" s="26">
        <f t="shared" ca="1" si="5"/>
        <v>46040.622929282406</v>
      </c>
    </row>
    <row r="130" spans="1:24" ht="15.75" thickBot="1" x14ac:dyDescent="0.3">
      <c r="A130" s="5" t="s">
        <v>269</v>
      </c>
      <c r="B130" s="3">
        <v>45581</v>
      </c>
      <c r="C130" s="12" t="str">
        <f>TEXT(Table1[[#This Row],[Date]],"mmm")</f>
        <v>Oct</v>
      </c>
      <c r="D130" s="12">
        <f>YEAR(Table1[[#This Row],[Date]])</f>
        <v>2024</v>
      </c>
      <c r="E130" s="3" t="str">
        <f>TEXT(Table1[[#This Row],[Date]],"mmm-yyyy")</f>
        <v>Oct-2024</v>
      </c>
      <c r="F130" s="1" t="s">
        <v>171</v>
      </c>
      <c r="G130" s="1" t="s">
        <v>172</v>
      </c>
      <c r="H130" s="1" t="str">
        <f>LEFT(Table1[[#This Row],[Customer_Name]],1)&amp;LEFT(MID(Table1[[#This Row],[Customer_Name]],FIND(" ",Table1[[#This Row],[Customer_Name]])+1,50),1)</f>
        <v>RR</v>
      </c>
      <c r="I130" s="1" t="s">
        <v>80</v>
      </c>
      <c r="J130" s="1" t="s">
        <v>81</v>
      </c>
      <c r="K130" s="1" t="s">
        <v>19</v>
      </c>
      <c r="L130" s="12">
        <v>4</v>
      </c>
      <c r="M130" s="16">
        <v>699.99</v>
      </c>
      <c r="N130" s="1" t="s">
        <v>26</v>
      </c>
      <c r="O130" s="1" t="s">
        <v>21</v>
      </c>
      <c r="P130" s="1" t="str">
        <f>UPPER(LEFT(Table1[[#This Row],[Region]],2))</f>
        <v>CE</v>
      </c>
      <c r="Q130" s="1" t="s">
        <v>22</v>
      </c>
      <c r="R130" s="3">
        <v>45385</v>
      </c>
      <c r="S130" s="20">
        <v>2799.96</v>
      </c>
      <c r="T130" s="23">
        <f t="shared" ref="T130:T193" ca="1" si="6">TODAY()</f>
        <v>46057</v>
      </c>
      <c r="U130" s="26">
        <f t="shared" ref="U130:U193" ca="1" si="7">NOW()</f>
        <v>46057.595634259262</v>
      </c>
      <c r="V130" s="25">
        <f ca="1">DATEDIF(Table1[[#This Row],[Date]],TODAY(),"d")</f>
        <v>476</v>
      </c>
      <c r="W130" s="28">
        <f>EOMONTH(Table1[[#This Row],[Date]],0)</f>
        <v>45596</v>
      </c>
      <c r="X130" s="26">
        <f t="shared" ref="X130:X193" ca="1" si="8">IF($A130="", "", IF(X130=0, NOW(), X130))</f>
        <v>46040.622929282406</v>
      </c>
    </row>
    <row r="131" spans="1:24" ht="15.75" thickBot="1" x14ac:dyDescent="0.3">
      <c r="A131" s="5" t="s">
        <v>270</v>
      </c>
      <c r="B131" s="3">
        <v>45581</v>
      </c>
      <c r="C131" s="12" t="str">
        <f>TEXT(Table1[[#This Row],[Date]],"mmm")</f>
        <v>Oct</v>
      </c>
      <c r="D131" s="12">
        <f>YEAR(Table1[[#This Row],[Date]])</f>
        <v>2024</v>
      </c>
      <c r="E131" s="3" t="str">
        <f>TEXT(Table1[[#This Row],[Date]],"mmm-yyyy")</f>
        <v>Oct-2024</v>
      </c>
      <c r="F131" s="1" t="s">
        <v>150</v>
      </c>
      <c r="G131" s="1" t="s">
        <v>151</v>
      </c>
      <c r="H131" s="1" t="str">
        <f>LEFT(Table1[[#This Row],[Customer_Name]],1)&amp;LEFT(MID(Table1[[#This Row],[Customer_Name]],FIND(" ",Table1[[#This Row],[Customer_Name]])+1,50),1)</f>
        <v>SB</v>
      </c>
      <c r="I131" s="1" t="s">
        <v>61</v>
      </c>
      <c r="J131" s="1" t="s">
        <v>62</v>
      </c>
      <c r="K131" s="1" t="s">
        <v>19</v>
      </c>
      <c r="L131" s="12">
        <v>1</v>
      </c>
      <c r="M131" s="16">
        <v>899.99</v>
      </c>
      <c r="N131" s="1" t="s">
        <v>26</v>
      </c>
      <c r="O131" s="1" t="s">
        <v>63</v>
      </c>
      <c r="P131" s="1" t="str">
        <f>UPPER(LEFT(Table1[[#This Row],[Region]],2))</f>
        <v>EA</v>
      </c>
      <c r="Q131" s="1" t="s">
        <v>36</v>
      </c>
      <c r="R131" s="3">
        <v>45369</v>
      </c>
      <c r="S131" s="20">
        <v>899.99</v>
      </c>
      <c r="T131" s="23">
        <f t="shared" ca="1" si="6"/>
        <v>46057</v>
      </c>
      <c r="U131" s="26">
        <f t="shared" ca="1" si="7"/>
        <v>46057.595634259262</v>
      </c>
      <c r="V131" s="25">
        <f ca="1">DATEDIF(Table1[[#This Row],[Date]],TODAY(),"d")</f>
        <v>476</v>
      </c>
      <c r="W131" s="28">
        <f>EOMONTH(Table1[[#This Row],[Date]],0)</f>
        <v>45596</v>
      </c>
      <c r="X131" s="26">
        <f t="shared" ca="1" si="8"/>
        <v>46040.622929282406</v>
      </c>
    </row>
    <row r="132" spans="1:24" ht="15.75" thickBot="1" x14ac:dyDescent="0.3">
      <c r="A132" s="5" t="s">
        <v>271</v>
      </c>
      <c r="B132" s="3">
        <v>45583</v>
      </c>
      <c r="C132" s="12" t="str">
        <f>TEXT(Table1[[#This Row],[Date]],"mmm")</f>
        <v>Oct</v>
      </c>
      <c r="D132" s="12">
        <f>YEAR(Table1[[#This Row],[Date]])</f>
        <v>2024</v>
      </c>
      <c r="E132" s="3" t="str">
        <f>TEXT(Table1[[#This Row],[Date]],"mmm-yyyy")</f>
        <v>Oct-2024</v>
      </c>
      <c r="F132" s="1" t="s">
        <v>226</v>
      </c>
      <c r="G132" s="1" t="s">
        <v>227</v>
      </c>
      <c r="H132" s="1" t="str">
        <f>LEFT(Table1[[#This Row],[Customer_Name]],1)&amp;LEFT(MID(Table1[[#This Row],[Customer_Name]],FIND(" ",Table1[[#This Row],[Customer_Name]])+1,50),1)</f>
        <v>LR</v>
      </c>
      <c r="I132" s="1" t="s">
        <v>52</v>
      </c>
      <c r="J132" s="1" t="s">
        <v>53</v>
      </c>
      <c r="K132" s="1" t="s">
        <v>19</v>
      </c>
      <c r="L132" s="12">
        <v>2</v>
      </c>
      <c r="M132" s="16">
        <v>149.99</v>
      </c>
      <c r="N132" s="1" t="s">
        <v>26</v>
      </c>
      <c r="O132" s="1" t="s">
        <v>50</v>
      </c>
      <c r="P132" s="1" t="str">
        <f>UPPER(LEFT(Table1[[#This Row],[Region]],2))</f>
        <v>WE</v>
      </c>
      <c r="Q132" s="1" t="s">
        <v>22</v>
      </c>
      <c r="R132" s="3">
        <v>44916</v>
      </c>
      <c r="S132" s="20">
        <v>299.98</v>
      </c>
      <c r="T132" s="23">
        <f t="shared" ca="1" si="6"/>
        <v>46057</v>
      </c>
      <c r="U132" s="26">
        <f t="shared" ca="1" si="7"/>
        <v>46057.595634259262</v>
      </c>
      <c r="V132" s="25">
        <f ca="1">DATEDIF(Table1[[#This Row],[Date]],TODAY(),"d")</f>
        <v>474</v>
      </c>
      <c r="W132" s="28">
        <f>EOMONTH(Table1[[#This Row],[Date]],0)</f>
        <v>45596</v>
      </c>
      <c r="X132" s="26">
        <f t="shared" ca="1" si="8"/>
        <v>46040.622929282406</v>
      </c>
    </row>
    <row r="133" spans="1:24" ht="15.75" thickBot="1" x14ac:dyDescent="0.3">
      <c r="A133" s="5" t="s">
        <v>272</v>
      </c>
      <c r="B133" s="3">
        <v>45586</v>
      </c>
      <c r="C133" s="12" t="str">
        <f>TEXT(Table1[[#This Row],[Date]],"mmm")</f>
        <v>Oct</v>
      </c>
      <c r="D133" s="12">
        <f>YEAR(Table1[[#This Row],[Date]])</f>
        <v>2024</v>
      </c>
      <c r="E133" s="3" t="str">
        <f>TEXT(Table1[[#This Row],[Date]],"mmm-yyyy")</f>
        <v>Oct-2024</v>
      </c>
      <c r="F133" s="1" t="s">
        <v>226</v>
      </c>
      <c r="G133" s="1" t="s">
        <v>227</v>
      </c>
      <c r="H133" s="1" t="str">
        <f>LEFT(Table1[[#This Row],[Customer_Name]],1)&amp;LEFT(MID(Table1[[#This Row],[Customer_Name]],FIND(" ",Table1[[#This Row],[Customer_Name]])+1,50),1)</f>
        <v>LR</v>
      </c>
      <c r="I133" s="1" t="s">
        <v>117</v>
      </c>
      <c r="J133" s="1" t="s">
        <v>118</v>
      </c>
      <c r="K133" s="1" t="s">
        <v>19</v>
      </c>
      <c r="L133" s="12">
        <v>3</v>
      </c>
      <c r="M133" s="16">
        <v>89.99</v>
      </c>
      <c r="N133" s="1" t="s">
        <v>34</v>
      </c>
      <c r="O133" s="1" t="s">
        <v>21</v>
      </c>
      <c r="P133" s="1" t="str">
        <f>UPPER(LEFT(Table1[[#This Row],[Region]],2))</f>
        <v>CE</v>
      </c>
      <c r="Q133" s="1" t="s">
        <v>22</v>
      </c>
      <c r="R133" s="3">
        <v>44551</v>
      </c>
      <c r="S133" s="20">
        <v>269.97000000000003</v>
      </c>
      <c r="T133" s="23">
        <f t="shared" ca="1" si="6"/>
        <v>46057</v>
      </c>
      <c r="U133" s="26">
        <f t="shared" ca="1" si="7"/>
        <v>46057.595634259262</v>
      </c>
      <c r="V133" s="25">
        <f ca="1">DATEDIF(Table1[[#This Row],[Date]],TODAY(),"d")</f>
        <v>471</v>
      </c>
      <c r="W133" s="28">
        <f>EOMONTH(Table1[[#This Row],[Date]],0)</f>
        <v>45596</v>
      </c>
      <c r="X133" s="26">
        <f t="shared" ca="1" si="8"/>
        <v>46040.622929282406</v>
      </c>
    </row>
    <row r="134" spans="1:24" ht="15.75" thickBot="1" x14ac:dyDescent="0.3">
      <c r="A134" s="5" t="s">
        <v>273</v>
      </c>
      <c r="B134" s="3">
        <v>45588</v>
      </c>
      <c r="C134" s="12" t="str">
        <f>TEXT(Table1[[#This Row],[Date]],"mmm")</f>
        <v>Oct</v>
      </c>
      <c r="D134" s="12">
        <f>YEAR(Table1[[#This Row],[Date]])</f>
        <v>2024</v>
      </c>
      <c r="E134" s="3" t="str">
        <f>TEXT(Table1[[#This Row],[Date]],"mmm-yyyy")</f>
        <v>Oct-2024</v>
      </c>
      <c r="F134" s="1" t="s">
        <v>38</v>
      </c>
      <c r="G134" s="1" t="s">
        <v>39</v>
      </c>
      <c r="H134" s="1" t="str">
        <f>LEFT(Table1[[#This Row],[Customer_Name]],1)&amp;LEFT(MID(Table1[[#This Row],[Customer_Name]],FIND(" ",Table1[[#This Row],[Customer_Name]])+1,50),1)</f>
        <v>KB</v>
      </c>
      <c r="I134" s="1" t="s">
        <v>52</v>
      </c>
      <c r="J134" s="1" t="s">
        <v>53</v>
      </c>
      <c r="K134" s="1" t="s">
        <v>19</v>
      </c>
      <c r="L134" s="12">
        <v>2</v>
      </c>
      <c r="M134" s="16">
        <v>149.99</v>
      </c>
      <c r="N134" s="1" t="s">
        <v>34</v>
      </c>
      <c r="O134" s="1" t="s">
        <v>21</v>
      </c>
      <c r="P134" s="1" t="str">
        <f>UPPER(LEFT(Table1[[#This Row],[Region]],2))</f>
        <v>CE</v>
      </c>
      <c r="Q134" s="1" t="s">
        <v>22</v>
      </c>
      <c r="R134" s="3">
        <v>44473</v>
      </c>
      <c r="S134" s="20">
        <v>299.98</v>
      </c>
      <c r="T134" s="23">
        <f t="shared" ca="1" si="6"/>
        <v>46057</v>
      </c>
      <c r="U134" s="26">
        <f t="shared" ca="1" si="7"/>
        <v>46057.595634259262</v>
      </c>
      <c r="V134" s="25">
        <f ca="1">DATEDIF(Table1[[#This Row],[Date]],TODAY(),"d")</f>
        <v>469</v>
      </c>
      <c r="W134" s="28">
        <f>EOMONTH(Table1[[#This Row],[Date]],0)</f>
        <v>45596</v>
      </c>
      <c r="X134" s="26">
        <f t="shared" ca="1" si="8"/>
        <v>46040.622929282406</v>
      </c>
    </row>
    <row r="135" spans="1:24" ht="15.75" thickBot="1" x14ac:dyDescent="0.3">
      <c r="A135" s="5" t="s">
        <v>274</v>
      </c>
      <c r="B135" s="3">
        <v>45588</v>
      </c>
      <c r="C135" s="12" t="str">
        <f>TEXT(Table1[[#This Row],[Date]],"mmm")</f>
        <v>Oct</v>
      </c>
      <c r="D135" s="12">
        <f>YEAR(Table1[[#This Row],[Date]])</f>
        <v>2024</v>
      </c>
      <c r="E135" s="3" t="str">
        <f>TEXT(Table1[[#This Row],[Date]],"mmm-yyyy")</f>
        <v>Oct-2024</v>
      </c>
      <c r="F135" s="1" t="s">
        <v>154</v>
      </c>
      <c r="G135" s="1" t="s">
        <v>155</v>
      </c>
      <c r="H135" s="1" t="str">
        <f>LEFT(Table1[[#This Row],[Customer_Name]],1)&amp;LEFT(MID(Table1[[#This Row],[Customer_Name]],FIND(" ",Table1[[#This Row],[Customer_Name]])+1,50),1)</f>
        <v>SD</v>
      </c>
      <c r="I135" s="1" t="s">
        <v>80</v>
      </c>
      <c r="J135" s="1" t="s">
        <v>81</v>
      </c>
      <c r="K135" s="1" t="s">
        <v>19</v>
      </c>
      <c r="L135" s="12">
        <v>2</v>
      </c>
      <c r="M135" s="16">
        <v>699.99</v>
      </c>
      <c r="N135" s="1" t="s">
        <v>20</v>
      </c>
      <c r="O135" s="1" t="s">
        <v>21</v>
      </c>
      <c r="P135" s="1" t="str">
        <f>UPPER(LEFT(Table1[[#This Row],[Region]],2))</f>
        <v>CE</v>
      </c>
      <c r="Q135" s="1" t="s">
        <v>22</v>
      </c>
      <c r="R135" s="3">
        <v>44992</v>
      </c>
      <c r="S135" s="20">
        <v>1399.98</v>
      </c>
      <c r="T135" s="23">
        <f t="shared" ca="1" si="6"/>
        <v>46057</v>
      </c>
      <c r="U135" s="26">
        <f t="shared" ca="1" si="7"/>
        <v>46057.595634259262</v>
      </c>
      <c r="V135" s="25">
        <f ca="1">DATEDIF(Table1[[#This Row],[Date]],TODAY(),"d")</f>
        <v>469</v>
      </c>
      <c r="W135" s="28">
        <f>EOMONTH(Table1[[#This Row],[Date]],0)</f>
        <v>45596</v>
      </c>
      <c r="X135" s="26">
        <f t="shared" ca="1" si="8"/>
        <v>46040.622929282406</v>
      </c>
    </row>
    <row r="136" spans="1:24" ht="15.75" thickBot="1" x14ac:dyDescent="0.3">
      <c r="A136" s="5" t="s">
        <v>275</v>
      </c>
      <c r="B136" s="3">
        <v>45589</v>
      </c>
      <c r="C136" s="12" t="str">
        <f>TEXT(Table1[[#This Row],[Date]],"mmm")</f>
        <v>Oct</v>
      </c>
      <c r="D136" s="12">
        <f>YEAR(Table1[[#This Row],[Date]])</f>
        <v>2024</v>
      </c>
      <c r="E136" s="3" t="str">
        <f>TEXT(Table1[[#This Row],[Date]],"mmm-yyyy")</f>
        <v>Oct-2024</v>
      </c>
      <c r="F136" s="1" t="s">
        <v>158</v>
      </c>
      <c r="G136" s="1" t="s">
        <v>159</v>
      </c>
      <c r="H136" s="1" t="str">
        <f>LEFT(Table1[[#This Row],[Customer_Name]],1)&amp;LEFT(MID(Table1[[#This Row],[Customer_Name]],FIND(" ",Table1[[#This Row],[Customer_Name]])+1,50),1)</f>
        <v>BC</v>
      </c>
      <c r="I136" s="1" t="s">
        <v>80</v>
      </c>
      <c r="J136" s="1" t="s">
        <v>81</v>
      </c>
      <c r="K136" s="1" t="s">
        <v>19</v>
      </c>
      <c r="L136" s="12">
        <v>5</v>
      </c>
      <c r="M136" s="16">
        <v>699.99</v>
      </c>
      <c r="N136" s="1" t="s">
        <v>20</v>
      </c>
      <c r="O136" s="1" t="s">
        <v>40</v>
      </c>
      <c r="P136" s="1" t="str">
        <f>UPPER(LEFT(Table1[[#This Row],[Region]],2))</f>
        <v>NO</v>
      </c>
      <c r="Q136" s="1" t="s">
        <v>27</v>
      </c>
      <c r="R136" s="3">
        <v>44635</v>
      </c>
      <c r="S136" s="20">
        <v>3499.95</v>
      </c>
      <c r="T136" s="23">
        <f t="shared" ca="1" si="6"/>
        <v>46057</v>
      </c>
      <c r="U136" s="26">
        <f t="shared" ca="1" si="7"/>
        <v>46057.595634259262</v>
      </c>
      <c r="V136" s="25">
        <f ca="1">DATEDIF(Table1[[#This Row],[Date]],TODAY(),"d")</f>
        <v>468</v>
      </c>
      <c r="W136" s="28">
        <f>EOMONTH(Table1[[#This Row],[Date]],0)</f>
        <v>45596</v>
      </c>
      <c r="X136" s="26">
        <f t="shared" ca="1" si="8"/>
        <v>46040.622929282406</v>
      </c>
    </row>
    <row r="137" spans="1:24" ht="15.75" thickBot="1" x14ac:dyDescent="0.3">
      <c r="A137" s="5" t="s">
        <v>276</v>
      </c>
      <c r="B137" s="3">
        <v>45592</v>
      </c>
      <c r="C137" s="12" t="str">
        <f>TEXT(Table1[[#This Row],[Date]],"mmm")</f>
        <v>Oct</v>
      </c>
      <c r="D137" s="12">
        <f>YEAR(Table1[[#This Row],[Date]])</f>
        <v>2024</v>
      </c>
      <c r="E137" s="3" t="str">
        <f>TEXT(Table1[[#This Row],[Date]],"mmm-yyyy")</f>
        <v>Oct-2024</v>
      </c>
      <c r="F137" s="1" t="s">
        <v>171</v>
      </c>
      <c r="G137" s="1" t="s">
        <v>172</v>
      </c>
      <c r="H137" s="1" t="str">
        <f>LEFT(Table1[[#This Row],[Customer_Name]],1)&amp;LEFT(MID(Table1[[#This Row],[Customer_Name]],FIND(" ",Table1[[#This Row],[Customer_Name]])+1,50),1)</f>
        <v>RR</v>
      </c>
      <c r="I137" s="1" t="s">
        <v>117</v>
      </c>
      <c r="J137" s="1" t="s">
        <v>118</v>
      </c>
      <c r="K137" s="1" t="s">
        <v>19</v>
      </c>
      <c r="L137" s="12">
        <v>3</v>
      </c>
      <c r="M137" s="16">
        <v>89.99</v>
      </c>
      <c r="N137" s="1" t="s">
        <v>26</v>
      </c>
      <c r="O137" s="1" t="s">
        <v>40</v>
      </c>
      <c r="P137" s="1" t="str">
        <f>UPPER(LEFT(Table1[[#This Row],[Region]],2))</f>
        <v>NO</v>
      </c>
      <c r="Q137" s="1" t="s">
        <v>36</v>
      </c>
      <c r="R137" s="3">
        <v>44615</v>
      </c>
      <c r="S137" s="20">
        <v>269.97000000000003</v>
      </c>
      <c r="T137" s="23">
        <f t="shared" ca="1" si="6"/>
        <v>46057</v>
      </c>
      <c r="U137" s="26">
        <f t="shared" ca="1" si="7"/>
        <v>46057.595634259262</v>
      </c>
      <c r="V137" s="25">
        <f ca="1">DATEDIF(Table1[[#This Row],[Date]],TODAY(),"d")</f>
        <v>465</v>
      </c>
      <c r="W137" s="28">
        <f>EOMONTH(Table1[[#This Row],[Date]],0)</f>
        <v>45596</v>
      </c>
      <c r="X137" s="26">
        <f t="shared" ca="1" si="8"/>
        <v>46040.622929282406</v>
      </c>
    </row>
    <row r="138" spans="1:24" ht="15.75" thickBot="1" x14ac:dyDescent="0.3">
      <c r="A138" s="5" t="s">
        <v>277</v>
      </c>
      <c r="B138" s="3">
        <v>45597</v>
      </c>
      <c r="C138" s="12" t="str">
        <f>TEXT(Table1[[#This Row],[Date]],"mmm")</f>
        <v>Nov</v>
      </c>
      <c r="D138" s="12">
        <f>YEAR(Table1[[#This Row],[Date]])</f>
        <v>2024</v>
      </c>
      <c r="E138" s="3" t="str">
        <f>TEXT(Table1[[#This Row],[Date]],"mmm-yyyy")</f>
        <v>Nov-2024</v>
      </c>
      <c r="F138" s="1" t="s">
        <v>15</v>
      </c>
      <c r="G138" s="1" t="s">
        <v>16</v>
      </c>
      <c r="H138" s="1" t="str">
        <f>LEFT(Table1[[#This Row],[Customer_Name]],1)&amp;LEFT(MID(Table1[[#This Row],[Customer_Name]],FIND(" ",Table1[[#This Row],[Customer_Name]])+1,50),1)</f>
        <v>PB</v>
      </c>
      <c r="I138" s="1" t="s">
        <v>17</v>
      </c>
      <c r="J138" s="1" t="s">
        <v>18</v>
      </c>
      <c r="K138" s="1" t="s">
        <v>19</v>
      </c>
      <c r="L138" s="12">
        <v>5</v>
      </c>
      <c r="M138" s="16">
        <v>249.99</v>
      </c>
      <c r="N138" s="1" t="s">
        <v>26</v>
      </c>
      <c r="O138" s="1" t="s">
        <v>35</v>
      </c>
      <c r="P138" s="1" t="str">
        <f>UPPER(LEFT(Table1[[#This Row],[Region]],2))</f>
        <v>SO</v>
      </c>
      <c r="Q138" s="1" t="s">
        <v>36</v>
      </c>
      <c r="R138" s="3">
        <v>44881</v>
      </c>
      <c r="S138" s="20">
        <v>1249.95</v>
      </c>
      <c r="T138" s="23">
        <f t="shared" ca="1" si="6"/>
        <v>46057</v>
      </c>
      <c r="U138" s="26">
        <f t="shared" ca="1" si="7"/>
        <v>46057.595634259262</v>
      </c>
      <c r="V138" s="25">
        <f ca="1">DATEDIF(Table1[[#This Row],[Date]],TODAY(),"d")</f>
        <v>460</v>
      </c>
      <c r="W138" s="28">
        <f>EOMONTH(Table1[[#This Row],[Date]],0)</f>
        <v>45626</v>
      </c>
      <c r="X138" s="26">
        <f t="shared" ca="1" si="8"/>
        <v>46040.622929282406</v>
      </c>
    </row>
    <row r="139" spans="1:24" ht="15.75" thickBot="1" x14ac:dyDescent="0.3">
      <c r="A139" s="5" t="s">
        <v>278</v>
      </c>
      <c r="B139" s="3">
        <v>45600</v>
      </c>
      <c r="C139" s="12" t="str">
        <f>TEXT(Table1[[#This Row],[Date]],"mmm")</f>
        <v>Nov</v>
      </c>
      <c r="D139" s="12">
        <f>YEAR(Table1[[#This Row],[Date]])</f>
        <v>2024</v>
      </c>
      <c r="E139" s="3" t="str">
        <f>TEXT(Table1[[#This Row],[Date]],"mmm-yyyy")</f>
        <v>Nov-2024</v>
      </c>
      <c r="F139" s="1" t="s">
        <v>65</v>
      </c>
      <c r="G139" s="1" t="s">
        <v>66</v>
      </c>
      <c r="H139" s="1" t="str">
        <f>LEFT(Table1[[#This Row],[Customer_Name]],1)&amp;LEFT(MID(Table1[[#This Row],[Customer_Name]],FIND(" ",Table1[[#This Row],[Customer_Name]])+1,50),1)</f>
        <v>KH</v>
      </c>
      <c r="I139" s="1" t="s">
        <v>105</v>
      </c>
      <c r="J139" s="1" t="s">
        <v>106</v>
      </c>
      <c r="K139" s="1" t="s">
        <v>46</v>
      </c>
      <c r="L139" s="12">
        <v>3</v>
      </c>
      <c r="M139" s="16">
        <v>299.99</v>
      </c>
      <c r="N139" s="1" t="s">
        <v>26</v>
      </c>
      <c r="O139" s="1" t="s">
        <v>35</v>
      </c>
      <c r="P139" s="1" t="str">
        <f>UPPER(LEFT(Table1[[#This Row],[Region]],2))</f>
        <v>SO</v>
      </c>
      <c r="Q139" s="1" t="s">
        <v>36</v>
      </c>
      <c r="R139" s="3">
        <v>44502</v>
      </c>
      <c r="S139" s="20">
        <v>899.97</v>
      </c>
      <c r="T139" s="23">
        <f t="shared" ca="1" si="6"/>
        <v>46057</v>
      </c>
      <c r="U139" s="26">
        <f t="shared" ca="1" si="7"/>
        <v>46057.595634259262</v>
      </c>
      <c r="V139" s="25">
        <f ca="1">DATEDIF(Table1[[#This Row],[Date]],TODAY(),"d")</f>
        <v>457</v>
      </c>
      <c r="W139" s="28">
        <f>EOMONTH(Table1[[#This Row],[Date]],0)</f>
        <v>45626</v>
      </c>
      <c r="X139" s="26">
        <f t="shared" ca="1" si="8"/>
        <v>46040.622929282406</v>
      </c>
    </row>
    <row r="140" spans="1:24" ht="15.75" thickBot="1" x14ac:dyDescent="0.3">
      <c r="A140" s="5" t="s">
        <v>279</v>
      </c>
      <c r="B140" s="3">
        <v>45603</v>
      </c>
      <c r="C140" s="12" t="str">
        <f>TEXT(Table1[[#This Row],[Date]],"mmm")</f>
        <v>Nov</v>
      </c>
      <c r="D140" s="12">
        <f>YEAR(Table1[[#This Row],[Date]])</f>
        <v>2024</v>
      </c>
      <c r="E140" s="3" t="str">
        <f>TEXT(Table1[[#This Row],[Date]],"mmm-yyyy")</f>
        <v>Nov-2024</v>
      </c>
      <c r="F140" s="1" t="s">
        <v>99</v>
      </c>
      <c r="G140" s="1" t="s">
        <v>100</v>
      </c>
      <c r="H140" s="1" t="str">
        <f>LEFT(Table1[[#This Row],[Customer_Name]],1)&amp;LEFT(MID(Table1[[#This Row],[Customer_Name]],FIND(" ",Table1[[#This Row],[Customer_Name]])+1,50),1)</f>
        <v>PM</v>
      </c>
      <c r="I140" s="1" t="s">
        <v>117</v>
      </c>
      <c r="J140" s="1" t="s">
        <v>118</v>
      </c>
      <c r="K140" s="1" t="s">
        <v>19</v>
      </c>
      <c r="L140" s="12">
        <v>3</v>
      </c>
      <c r="M140" s="16">
        <v>89.99</v>
      </c>
      <c r="N140" s="1" t="s">
        <v>26</v>
      </c>
      <c r="O140" s="1" t="s">
        <v>40</v>
      </c>
      <c r="P140" s="1" t="str">
        <f>UPPER(LEFT(Table1[[#This Row],[Region]],2))</f>
        <v>NO</v>
      </c>
      <c r="Q140" s="1" t="s">
        <v>27</v>
      </c>
      <c r="R140" s="3">
        <v>44420</v>
      </c>
      <c r="S140" s="20">
        <v>269.97000000000003</v>
      </c>
      <c r="T140" s="23">
        <f t="shared" ca="1" si="6"/>
        <v>46057</v>
      </c>
      <c r="U140" s="26">
        <f t="shared" ca="1" si="7"/>
        <v>46057.595634259262</v>
      </c>
      <c r="V140" s="25">
        <f ca="1">DATEDIF(Table1[[#This Row],[Date]],TODAY(),"d")</f>
        <v>454</v>
      </c>
      <c r="W140" s="28">
        <f>EOMONTH(Table1[[#This Row],[Date]],0)</f>
        <v>45626</v>
      </c>
      <c r="X140" s="26">
        <f t="shared" ca="1" si="8"/>
        <v>46040.622929282406</v>
      </c>
    </row>
    <row r="141" spans="1:24" ht="15.75" thickBot="1" x14ac:dyDescent="0.3">
      <c r="A141" s="5" t="s">
        <v>280</v>
      </c>
      <c r="B141" s="3">
        <v>45604</v>
      </c>
      <c r="C141" s="12" t="str">
        <f>TEXT(Table1[[#This Row],[Date]],"mmm")</f>
        <v>Nov</v>
      </c>
      <c r="D141" s="12">
        <f>YEAR(Table1[[#This Row],[Date]])</f>
        <v>2024</v>
      </c>
      <c r="E141" s="3" t="str">
        <f>TEXT(Table1[[#This Row],[Date]],"mmm-yyyy")</f>
        <v>Nov-2024</v>
      </c>
      <c r="F141" s="1" t="s">
        <v>89</v>
      </c>
      <c r="G141" s="1" t="s">
        <v>90</v>
      </c>
      <c r="H141" s="1" t="str">
        <f>LEFT(Table1[[#This Row],[Customer_Name]],1)&amp;LEFT(MID(Table1[[#This Row],[Customer_Name]],FIND(" ",Table1[[#This Row],[Customer_Name]])+1,50),1)</f>
        <v>MG</v>
      </c>
      <c r="I141" s="1" t="s">
        <v>44</v>
      </c>
      <c r="J141" s="1" t="s">
        <v>45</v>
      </c>
      <c r="K141" s="1" t="s">
        <v>46</v>
      </c>
      <c r="L141" s="12">
        <v>2</v>
      </c>
      <c r="M141" s="16">
        <v>149.99</v>
      </c>
      <c r="N141" s="1" t="s">
        <v>26</v>
      </c>
      <c r="O141" s="1" t="s">
        <v>50</v>
      </c>
      <c r="P141" s="1" t="str">
        <f>UPPER(LEFT(Table1[[#This Row],[Region]],2))</f>
        <v>WE</v>
      </c>
      <c r="Q141" s="1" t="s">
        <v>27</v>
      </c>
      <c r="R141" s="3">
        <v>44848</v>
      </c>
      <c r="S141" s="20">
        <v>299.98</v>
      </c>
      <c r="T141" s="23">
        <f t="shared" ca="1" si="6"/>
        <v>46057</v>
      </c>
      <c r="U141" s="26">
        <f t="shared" ca="1" si="7"/>
        <v>46057.595634259262</v>
      </c>
      <c r="V141" s="25">
        <f ca="1">DATEDIF(Table1[[#This Row],[Date]],TODAY(),"d")</f>
        <v>453</v>
      </c>
      <c r="W141" s="28">
        <f>EOMONTH(Table1[[#This Row],[Date]],0)</f>
        <v>45626</v>
      </c>
      <c r="X141" s="26">
        <f t="shared" ca="1" si="8"/>
        <v>46040.622929282406</v>
      </c>
    </row>
    <row r="142" spans="1:24" ht="15.75" thickBot="1" x14ac:dyDescent="0.3">
      <c r="A142" s="5" t="s">
        <v>281</v>
      </c>
      <c r="B142" s="3">
        <v>45605</v>
      </c>
      <c r="C142" s="12" t="str">
        <f>TEXT(Table1[[#This Row],[Date]],"mmm")</f>
        <v>Nov</v>
      </c>
      <c r="D142" s="12">
        <f>YEAR(Table1[[#This Row],[Date]])</f>
        <v>2024</v>
      </c>
      <c r="E142" s="3" t="str">
        <f>TEXT(Table1[[#This Row],[Date]],"mmm-yyyy")</f>
        <v>Nov-2024</v>
      </c>
      <c r="F142" s="1" t="s">
        <v>185</v>
      </c>
      <c r="G142" s="1" t="s">
        <v>186</v>
      </c>
      <c r="H142" s="1" t="str">
        <f>LEFT(Table1[[#This Row],[Customer_Name]],1)&amp;LEFT(MID(Table1[[#This Row],[Customer_Name]],FIND(" ",Table1[[#This Row],[Customer_Name]])+1,50),1)</f>
        <v>MW</v>
      </c>
      <c r="I142" s="1" t="s">
        <v>17</v>
      </c>
      <c r="J142" s="1" t="s">
        <v>18</v>
      </c>
      <c r="K142" s="1" t="s">
        <v>19</v>
      </c>
      <c r="L142" s="12">
        <v>1</v>
      </c>
      <c r="M142" s="16">
        <v>249.99</v>
      </c>
      <c r="N142" s="1" t="s">
        <v>26</v>
      </c>
      <c r="O142" s="1" t="s">
        <v>40</v>
      </c>
      <c r="P142" s="1" t="str">
        <f>UPPER(LEFT(Table1[[#This Row],[Region]],2))</f>
        <v>NO</v>
      </c>
      <c r="Q142" s="1" t="s">
        <v>27</v>
      </c>
      <c r="R142" s="3">
        <v>44828</v>
      </c>
      <c r="S142" s="20">
        <v>249.99</v>
      </c>
      <c r="T142" s="23">
        <f t="shared" ca="1" si="6"/>
        <v>46057</v>
      </c>
      <c r="U142" s="26">
        <f t="shared" ca="1" si="7"/>
        <v>46057.595634259262</v>
      </c>
      <c r="V142" s="25">
        <f ca="1">DATEDIF(Table1[[#This Row],[Date]],TODAY(),"d")</f>
        <v>452</v>
      </c>
      <c r="W142" s="28">
        <f>EOMONTH(Table1[[#This Row],[Date]],0)</f>
        <v>45626</v>
      </c>
      <c r="X142" s="26">
        <f t="shared" ca="1" si="8"/>
        <v>46040.622929282406</v>
      </c>
    </row>
    <row r="143" spans="1:24" ht="15.75" thickBot="1" x14ac:dyDescent="0.3">
      <c r="A143" s="5" t="s">
        <v>282</v>
      </c>
      <c r="B143" s="3">
        <v>45607</v>
      </c>
      <c r="C143" s="12" t="str">
        <f>TEXT(Table1[[#This Row],[Date]],"mmm")</f>
        <v>Nov</v>
      </c>
      <c r="D143" s="12">
        <f>YEAR(Table1[[#This Row],[Date]])</f>
        <v>2024</v>
      </c>
      <c r="E143" s="3" t="str">
        <f>TEXT(Table1[[#This Row],[Date]],"mmm-yyyy")</f>
        <v>Nov-2024</v>
      </c>
      <c r="F143" s="1" t="s">
        <v>72</v>
      </c>
      <c r="G143" s="1" t="s">
        <v>73</v>
      </c>
      <c r="H143" s="1" t="str">
        <f>LEFT(Table1[[#This Row],[Customer_Name]],1)&amp;LEFT(MID(Table1[[#This Row],[Customer_Name]],FIND(" ",Table1[[#This Row],[Customer_Name]])+1,50),1)</f>
        <v>PR</v>
      </c>
      <c r="I143" s="1" t="s">
        <v>52</v>
      </c>
      <c r="J143" s="1" t="s">
        <v>53</v>
      </c>
      <c r="K143" s="1" t="s">
        <v>19</v>
      </c>
      <c r="L143" s="12">
        <v>3</v>
      </c>
      <c r="M143" s="16">
        <v>149.99</v>
      </c>
      <c r="N143" s="1" t="s">
        <v>20</v>
      </c>
      <c r="O143" s="1" t="s">
        <v>40</v>
      </c>
      <c r="P143" s="1" t="str">
        <f>UPPER(LEFT(Table1[[#This Row],[Region]],2))</f>
        <v>NO</v>
      </c>
      <c r="Q143" s="1" t="s">
        <v>22</v>
      </c>
      <c r="R143" s="3">
        <v>44769</v>
      </c>
      <c r="S143" s="20">
        <v>449.97</v>
      </c>
      <c r="T143" s="23">
        <f t="shared" ca="1" si="6"/>
        <v>46057</v>
      </c>
      <c r="U143" s="26">
        <f t="shared" ca="1" si="7"/>
        <v>46057.595634259262</v>
      </c>
      <c r="V143" s="25">
        <f ca="1">DATEDIF(Table1[[#This Row],[Date]],TODAY(),"d")</f>
        <v>450</v>
      </c>
      <c r="W143" s="28">
        <f>EOMONTH(Table1[[#This Row],[Date]],0)</f>
        <v>45626</v>
      </c>
      <c r="X143" s="26">
        <f t="shared" ca="1" si="8"/>
        <v>46040.622929282406</v>
      </c>
    </row>
    <row r="144" spans="1:24" ht="15.75" thickBot="1" x14ac:dyDescent="0.3">
      <c r="A144" s="5" t="s">
        <v>283</v>
      </c>
      <c r="B144" s="3">
        <v>45607</v>
      </c>
      <c r="C144" s="12" t="str">
        <f>TEXT(Table1[[#This Row],[Date]],"mmm")</f>
        <v>Nov</v>
      </c>
      <c r="D144" s="12">
        <f>YEAR(Table1[[#This Row],[Date]])</f>
        <v>2024</v>
      </c>
      <c r="E144" s="3" t="str">
        <f>TEXT(Table1[[#This Row],[Date]],"mmm-yyyy")</f>
        <v>Nov-2024</v>
      </c>
      <c r="F144" s="1" t="s">
        <v>15</v>
      </c>
      <c r="G144" s="1" t="s">
        <v>16</v>
      </c>
      <c r="H144" s="1" t="str">
        <f>LEFT(Table1[[#This Row],[Customer_Name]],1)&amp;LEFT(MID(Table1[[#This Row],[Customer_Name]],FIND(" ",Table1[[#This Row],[Customer_Name]])+1,50),1)</f>
        <v>PB</v>
      </c>
      <c r="I144" s="1" t="s">
        <v>31</v>
      </c>
      <c r="J144" s="1" t="s">
        <v>32</v>
      </c>
      <c r="K144" s="1" t="s">
        <v>33</v>
      </c>
      <c r="L144" s="12">
        <v>5</v>
      </c>
      <c r="M144" s="16">
        <v>59.99</v>
      </c>
      <c r="N144" s="1" t="s">
        <v>34</v>
      </c>
      <c r="O144" s="1" t="s">
        <v>50</v>
      </c>
      <c r="P144" s="1" t="str">
        <f>UPPER(LEFT(Table1[[#This Row],[Region]],2))</f>
        <v>WE</v>
      </c>
      <c r="Q144" s="1" t="s">
        <v>27</v>
      </c>
      <c r="R144" s="3">
        <v>44694</v>
      </c>
      <c r="S144" s="20">
        <v>299.95</v>
      </c>
      <c r="T144" s="23">
        <f t="shared" ca="1" si="6"/>
        <v>46057</v>
      </c>
      <c r="U144" s="26">
        <f t="shared" ca="1" si="7"/>
        <v>46057.595634259262</v>
      </c>
      <c r="V144" s="25">
        <f ca="1">DATEDIF(Table1[[#This Row],[Date]],TODAY(),"d")</f>
        <v>450</v>
      </c>
      <c r="W144" s="28">
        <f>EOMONTH(Table1[[#This Row],[Date]],0)</f>
        <v>45626</v>
      </c>
      <c r="X144" s="26">
        <f t="shared" ca="1" si="8"/>
        <v>46040.622929282406</v>
      </c>
    </row>
    <row r="145" spans="1:24" ht="15.75" thickBot="1" x14ac:dyDescent="0.3">
      <c r="A145" s="5" t="s">
        <v>284</v>
      </c>
      <c r="B145" s="3">
        <v>45607</v>
      </c>
      <c r="C145" s="12" t="str">
        <f>TEXT(Table1[[#This Row],[Date]],"mmm")</f>
        <v>Nov</v>
      </c>
      <c r="D145" s="12">
        <f>YEAR(Table1[[#This Row],[Date]])</f>
        <v>2024</v>
      </c>
      <c r="E145" s="3" t="str">
        <f>TEXT(Table1[[#This Row],[Date]],"mmm-yyyy")</f>
        <v>Nov-2024</v>
      </c>
      <c r="F145" s="1" t="s">
        <v>99</v>
      </c>
      <c r="G145" s="1" t="s">
        <v>100</v>
      </c>
      <c r="H145" s="1" t="str">
        <f>LEFT(Table1[[#This Row],[Customer_Name]],1)&amp;LEFT(MID(Table1[[#This Row],[Customer_Name]],FIND(" ",Table1[[#This Row],[Customer_Name]])+1,50),1)</f>
        <v>PM</v>
      </c>
      <c r="I145" s="1" t="s">
        <v>17</v>
      </c>
      <c r="J145" s="1" t="s">
        <v>18</v>
      </c>
      <c r="K145" s="1" t="s">
        <v>19</v>
      </c>
      <c r="L145" s="12">
        <v>4</v>
      </c>
      <c r="M145" s="16">
        <v>249.99</v>
      </c>
      <c r="N145" s="1" t="s">
        <v>26</v>
      </c>
      <c r="O145" s="1" t="s">
        <v>50</v>
      </c>
      <c r="P145" s="1" t="str">
        <f>UPPER(LEFT(Table1[[#This Row],[Region]],2))</f>
        <v>WE</v>
      </c>
      <c r="Q145" s="1" t="s">
        <v>36</v>
      </c>
      <c r="R145" s="3">
        <v>44659</v>
      </c>
      <c r="S145" s="20">
        <v>999.96</v>
      </c>
      <c r="T145" s="23">
        <f t="shared" ca="1" si="6"/>
        <v>46057</v>
      </c>
      <c r="U145" s="26">
        <f t="shared" ca="1" si="7"/>
        <v>46057.595634259262</v>
      </c>
      <c r="V145" s="25">
        <f ca="1">DATEDIF(Table1[[#This Row],[Date]],TODAY(),"d")</f>
        <v>450</v>
      </c>
      <c r="W145" s="28">
        <f>EOMONTH(Table1[[#This Row],[Date]],0)</f>
        <v>45626</v>
      </c>
      <c r="X145" s="26">
        <f t="shared" ca="1" si="8"/>
        <v>46040.622929282406</v>
      </c>
    </row>
    <row r="146" spans="1:24" ht="15.75" thickBot="1" x14ac:dyDescent="0.3">
      <c r="A146" s="5" t="s">
        <v>285</v>
      </c>
      <c r="B146" s="3">
        <v>45608</v>
      </c>
      <c r="C146" s="12" t="str">
        <f>TEXT(Table1[[#This Row],[Date]],"mmm")</f>
        <v>Nov</v>
      </c>
      <c r="D146" s="12">
        <f>YEAR(Table1[[#This Row],[Date]])</f>
        <v>2024</v>
      </c>
      <c r="E146" s="3" t="str">
        <f>TEXT(Table1[[#This Row],[Date]],"mmm-yyyy")</f>
        <v>Nov-2024</v>
      </c>
      <c r="F146" s="1" t="s">
        <v>154</v>
      </c>
      <c r="G146" s="1" t="s">
        <v>155</v>
      </c>
      <c r="H146" s="1" t="str">
        <f>LEFT(Table1[[#This Row],[Customer_Name]],1)&amp;LEFT(MID(Table1[[#This Row],[Customer_Name]],FIND(" ",Table1[[#This Row],[Customer_Name]])+1,50),1)</f>
        <v>SD</v>
      </c>
      <c r="I146" s="1" t="s">
        <v>44</v>
      </c>
      <c r="J146" s="1" t="s">
        <v>45</v>
      </c>
      <c r="K146" s="1" t="s">
        <v>46</v>
      </c>
      <c r="L146" s="12">
        <v>5</v>
      </c>
      <c r="M146" s="16">
        <v>149.99</v>
      </c>
      <c r="N146" s="1" t="s">
        <v>34</v>
      </c>
      <c r="O146" s="1" t="s">
        <v>21</v>
      </c>
      <c r="P146" s="1" t="str">
        <f>UPPER(LEFT(Table1[[#This Row],[Region]],2))</f>
        <v>CE</v>
      </c>
      <c r="Q146" s="1" t="s">
        <v>22</v>
      </c>
      <c r="R146" s="3">
        <v>44901</v>
      </c>
      <c r="S146" s="20">
        <v>749.95</v>
      </c>
      <c r="T146" s="23">
        <f t="shared" ca="1" si="6"/>
        <v>46057</v>
      </c>
      <c r="U146" s="26">
        <f t="shared" ca="1" si="7"/>
        <v>46057.595634259262</v>
      </c>
      <c r="V146" s="25">
        <f ca="1">DATEDIF(Table1[[#This Row],[Date]],TODAY(),"d")</f>
        <v>449</v>
      </c>
      <c r="W146" s="28">
        <f>EOMONTH(Table1[[#This Row],[Date]],0)</f>
        <v>45626</v>
      </c>
      <c r="X146" s="26">
        <f t="shared" ca="1" si="8"/>
        <v>46040.622929282406</v>
      </c>
    </row>
    <row r="147" spans="1:24" ht="15.75" thickBot="1" x14ac:dyDescent="0.3">
      <c r="A147" s="5" t="s">
        <v>286</v>
      </c>
      <c r="B147" s="3">
        <v>45608</v>
      </c>
      <c r="C147" s="12" t="str">
        <f>TEXT(Table1[[#This Row],[Date]],"mmm")</f>
        <v>Nov</v>
      </c>
      <c r="D147" s="12">
        <f>YEAR(Table1[[#This Row],[Date]])</f>
        <v>2024</v>
      </c>
      <c r="E147" s="3" t="str">
        <f>TEXT(Table1[[#This Row],[Date]],"mmm-yyyy")</f>
        <v>Nov-2024</v>
      </c>
      <c r="F147" s="1" t="s">
        <v>83</v>
      </c>
      <c r="G147" s="1" t="s">
        <v>84</v>
      </c>
      <c r="H147" s="1" t="str">
        <f>LEFT(Table1[[#This Row],[Customer_Name]],1)&amp;LEFT(MID(Table1[[#This Row],[Customer_Name]],FIND(" ",Table1[[#This Row],[Customer_Name]])+1,50),1)</f>
        <v>GA</v>
      </c>
      <c r="I147" s="1" t="s">
        <v>31</v>
      </c>
      <c r="J147" s="1" t="s">
        <v>32</v>
      </c>
      <c r="K147" s="1" t="s">
        <v>33</v>
      </c>
      <c r="L147" s="12">
        <v>3</v>
      </c>
      <c r="M147" s="16">
        <v>59.99</v>
      </c>
      <c r="N147" s="1" t="s">
        <v>57</v>
      </c>
      <c r="O147" s="1" t="s">
        <v>35</v>
      </c>
      <c r="P147" s="1" t="str">
        <f>UPPER(LEFT(Table1[[#This Row],[Region]],2))</f>
        <v>SO</v>
      </c>
      <c r="Q147" s="1" t="s">
        <v>36</v>
      </c>
      <c r="R147" s="3">
        <v>45260</v>
      </c>
      <c r="S147" s="20">
        <v>179.97</v>
      </c>
      <c r="T147" s="23">
        <f t="shared" ca="1" si="6"/>
        <v>46057</v>
      </c>
      <c r="U147" s="26">
        <f t="shared" ca="1" si="7"/>
        <v>46057.595634259262</v>
      </c>
      <c r="V147" s="25">
        <f ca="1">DATEDIF(Table1[[#This Row],[Date]],TODAY(),"d")</f>
        <v>449</v>
      </c>
      <c r="W147" s="28">
        <f>EOMONTH(Table1[[#This Row],[Date]],0)</f>
        <v>45626</v>
      </c>
      <c r="X147" s="26">
        <f t="shared" ca="1" si="8"/>
        <v>46040.622929282406</v>
      </c>
    </row>
    <row r="148" spans="1:24" ht="15.75" thickBot="1" x14ac:dyDescent="0.3">
      <c r="A148" s="5" t="s">
        <v>287</v>
      </c>
      <c r="B148" s="3">
        <v>45613</v>
      </c>
      <c r="C148" s="12" t="str">
        <f>TEXT(Table1[[#This Row],[Date]],"mmm")</f>
        <v>Nov</v>
      </c>
      <c r="D148" s="12">
        <f>YEAR(Table1[[#This Row],[Date]])</f>
        <v>2024</v>
      </c>
      <c r="E148" s="3" t="str">
        <f>TEXT(Table1[[#This Row],[Date]],"mmm-yyyy")</f>
        <v>Nov-2024</v>
      </c>
      <c r="F148" s="1" t="s">
        <v>234</v>
      </c>
      <c r="G148" s="1" t="s">
        <v>235</v>
      </c>
      <c r="H148" s="1" t="str">
        <f>LEFT(Table1[[#This Row],[Customer_Name]],1)&amp;LEFT(MID(Table1[[#This Row],[Customer_Name]],FIND(" ",Table1[[#This Row],[Customer_Name]])+1,50),1)</f>
        <v>SP</v>
      </c>
      <c r="I148" s="1" t="s">
        <v>44</v>
      </c>
      <c r="J148" s="1" t="s">
        <v>45</v>
      </c>
      <c r="K148" s="1" t="s">
        <v>46</v>
      </c>
      <c r="L148" s="12">
        <v>5</v>
      </c>
      <c r="M148" s="16">
        <v>149.99</v>
      </c>
      <c r="N148" s="1" t="s">
        <v>20</v>
      </c>
      <c r="O148" s="1" t="s">
        <v>40</v>
      </c>
      <c r="P148" s="1" t="str">
        <f>UPPER(LEFT(Table1[[#This Row],[Region]],2))</f>
        <v>NO</v>
      </c>
      <c r="Q148" s="1" t="s">
        <v>22</v>
      </c>
      <c r="R148" s="3">
        <v>44869</v>
      </c>
      <c r="S148" s="20">
        <v>749.95</v>
      </c>
      <c r="T148" s="23">
        <f t="shared" ca="1" si="6"/>
        <v>46057</v>
      </c>
      <c r="U148" s="26">
        <f t="shared" ca="1" si="7"/>
        <v>46057.595634259262</v>
      </c>
      <c r="V148" s="25">
        <f ca="1">DATEDIF(Table1[[#This Row],[Date]],TODAY(),"d")</f>
        <v>444</v>
      </c>
      <c r="W148" s="28">
        <f>EOMONTH(Table1[[#This Row],[Date]],0)</f>
        <v>45626</v>
      </c>
      <c r="X148" s="26">
        <f t="shared" ca="1" si="8"/>
        <v>46040.622929282406</v>
      </c>
    </row>
    <row r="149" spans="1:24" ht="15.75" thickBot="1" x14ac:dyDescent="0.3">
      <c r="A149" s="5" t="s">
        <v>288</v>
      </c>
      <c r="B149" s="3">
        <v>45613</v>
      </c>
      <c r="C149" s="12" t="str">
        <f>TEXT(Table1[[#This Row],[Date]],"mmm")</f>
        <v>Nov</v>
      </c>
      <c r="D149" s="12">
        <f>YEAR(Table1[[#This Row],[Date]])</f>
        <v>2024</v>
      </c>
      <c r="E149" s="3" t="str">
        <f>TEXT(Table1[[#This Row],[Date]],"mmm-yyyy")</f>
        <v>Nov-2024</v>
      </c>
      <c r="F149" s="1" t="s">
        <v>86</v>
      </c>
      <c r="G149" s="1" t="s">
        <v>87</v>
      </c>
      <c r="H149" s="1" t="str">
        <f>LEFT(Table1[[#This Row],[Customer_Name]],1)&amp;LEFT(MID(Table1[[#This Row],[Customer_Name]],FIND(" ",Table1[[#This Row],[Customer_Name]])+1,50),1)</f>
        <v>MC</v>
      </c>
      <c r="I149" s="1" t="s">
        <v>80</v>
      </c>
      <c r="J149" s="1" t="s">
        <v>81</v>
      </c>
      <c r="K149" s="1" t="s">
        <v>19</v>
      </c>
      <c r="L149" s="12">
        <v>2</v>
      </c>
      <c r="M149" s="16">
        <v>699.99</v>
      </c>
      <c r="N149" s="1" t="s">
        <v>34</v>
      </c>
      <c r="O149" s="1" t="s">
        <v>50</v>
      </c>
      <c r="P149" s="1" t="str">
        <f>UPPER(LEFT(Table1[[#This Row],[Region]],2))</f>
        <v>WE</v>
      </c>
      <c r="Q149" s="1" t="s">
        <v>36</v>
      </c>
      <c r="R149" s="3">
        <v>44770</v>
      </c>
      <c r="S149" s="20">
        <v>1399.98</v>
      </c>
      <c r="T149" s="23">
        <f t="shared" ca="1" si="6"/>
        <v>46057</v>
      </c>
      <c r="U149" s="26">
        <f t="shared" ca="1" si="7"/>
        <v>46057.595634259262</v>
      </c>
      <c r="V149" s="25">
        <f ca="1">DATEDIF(Table1[[#This Row],[Date]],TODAY(),"d")</f>
        <v>444</v>
      </c>
      <c r="W149" s="28">
        <f>EOMONTH(Table1[[#This Row],[Date]],0)</f>
        <v>45626</v>
      </c>
      <c r="X149" s="26">
        <f t="shared" ca="1" si="8"/>
        <v>46040.622929282406</v>
      </c>
    </row>
    <row r="150" spans="1:24" ht="15.75" thickBot="1" x14ac:dyDescent="0.3">
      <c r="A150" s="5" t="s">
        <v>289</v>
      </c>
      <c r="B150" s="3">
        <v>45617</v>
      </c>
      <c r="C150" s="12" t="str">
        <f>TEXT(Table1[[#This Row],[Date]],"mmm")</f>
        <v>Nov</v>
      </c>
      <c r="D150" s="12">
        <f>YEAR(Table1[[#This Row],[Date]])</f>
        <v>2024</v>
      </c>
      <c r="E150" s="3" t="str">
        <f>TEXT(Table1[[#This Row],[Date]],"mmm-yyyy")</f>
        <v>Nov-2024</v>
      </c>
      <c r="F150" s="1" t="s">
        <v>123</v>
      </c>
      <c r="G150" s="1" t="s">
        <v>124</v>
      </c>
      <c r="H150" s="1" t="str">
        <f>LEFT(Table1[[#This Row],[Customer_Name]],1)&amp;LEFT(MID(Table1[[#This Row],[Customer_Name]],FIND(" ",Table1[[#This Row],[Customer_Name]])+1,50),1)</f>
        <v>EM</v>
      </c>
      <c r="I150" s="1" t="s">
        <v>126</v>
      </c>
      <c r="J150" s="1" t="s">
        <v>127</v>
      </c>
      <c r="K150" s="1" t="s">
        <v>46</v>
      </c>
      <c r="L150" s="12">
        <v>4</v>
      </c>
      <c r="M150" s="16">
        <v>199.99</v>
      </c>
      <c r="N150" s="1" t="s">
        <v>57</v>
      </c>
      <c r="O150" s="1" t="s">
        <v>21</v>
      </c>
      <c r="P150" s="1" t="str">
        <f>UPPER(LEFT(Table1[[#This Row],[Region]],2))</f>
        <v>CE</v>
      </c>
      <c r="Q150" s="1" t="s">
        <v>27</v>
      </c>
      <c r="R150" s="3">
        <v>44427</v>
      </c>
      <c r="S150" s="20">
        <v>799.96</v>
      </c>
      <c r="T150" s="23">
        <f t="shared" ca="1" si="6"/>
        <v>46057</v>
      </c>
      <c r="U150" s="26">
        <f t="shared" ca="1" si="7"/>
        <v>46057.595634259262</v>
      </c>
      <c r="V150" s="25">
        <f ca="1">DATEDIF(Table1[[#This Row],[Date]],TODAY(),"d")</f>
        <v>440</v>
      </c>
      <c r="W150" s="28">
        <f>EOMONTH(Table1[[#This Row],[Date]],0)</f>
        <v>45626</v>
      </c>
      <c r="X150" s="26">
        <f t="shared" ca="1" si="8"/>
        <v>46040.622929282406</v>
      </c>
    </row>
    <row r="151" spans="1:24" ht="15.75" thickBot="1" x14ac:dyDescent="0.3">
      <c r="A151" s="5" t="s">
        <v>290</v>
      </c>
      <c r="B151" s="3">
        <v>45619</v>
      </c>
      <c r="C151" s="12" t="str">
        <f>TEXT(Table1[[#This Row],[Date]],"mmm")</f>
        <v>Nov</v>
      </c>
      <c r="D151" s="12">
        <f>YEAR(Table1[[#This Row],[Date]])</f>
        <v>2024</v>
      </c>
      <c r="E151" s="3" t="str">
        <f>TEXT(Table1[[#This Row],[Date]],"mmm-yyyy")</f>
        <v>Nov-2024</v>
      </c>
      <c r="F151" s="1" t="s">
        <v>192</v>
      </c>
      <c r="G151" s="1" t="s">
        <v>193</v>
      </c>
      <c r="H151" s="1" t="str">
        <f>LEFT(Table1[[#This Row],[Customer_Name]],1)&amp;LEFT(MID(Table1[[#This Row],[Customer_Name]],FIND(" ",Table1[[#This Row],[Customer_Name]])+1,50),1)</f>
        <v>FT</v>
      </c>
      <c r="I151" s="1" t="s">
        <v>31</v>
      </c>
      <c r="J151" s="1" t="s">
        <v>32</v>
      </c>
      <c r="K151" s="1" t="s">
        <v>33</v>
      </c>
      <c r="L151" s="12">
        <v>1</v>
      </c>
      <c r="M151" s="16">
        <v>59.99</v>
      </c>
      <c r="N151" s="1" t="s">
        <v>57</v>
      </c>
      <c r="O151" s="1" t="s">
        <v>50</v>
      </c>
      <c r="P151" s="1" t="str">
        <f>UPPER(LEFT(Table1[[#This Row],[Region]],2))</f>
        <v>WE</v>
      </c>
      <c r="Q151" s="1" t="s">
        <v>36</v>
      </c>
      <c r="R151" s="3">
        <v>44560</v>
      </c>
      <c r="S151" s="20">
        <v>59.99</v>
      </c>
      <c r="T151" s="23">
        <f t="shared" ca="1" si="6"/>
        <v>46057</v>
      </c>
      <c r="U151" s="26">
        <f t="shared" ca="1" si="7"/>
        <v>46057.595634259262</v>
      </c>
      <c r="V151" s="25">
        <f ca="1">DATEDIF(Table1[[#This Row],[Date]],TODAY(),"d")</f>
        <v>438</v>
      </c>
      <c r="W151" s="28">
        <f>EOMONTH(Table1[[#This Row],[Date]],0)</f>
        <v>45626</v>
      </c>
      <c r="X151" s="26">
        <f t="shared" ca="1" si="8"/>
        <v>46040.622929282406</v>
      </c>
    </row>
    <row r="152" spans="1:24" ht="15.75" thickBot="1" x14ac:dyDescent="0.3">
      <c r="A152" s="5" t="s">
        <v>291</v>
      </c>
      <c r="B152" s="3">
        <v>45619</v>
      </c>
      <c r="C152" s="12" t="str">
        <f>TEXT(Table1[[#This Row],[Date]],"mmm")</f>
        <v>Nov</v>
      </c>
      <c r="D152" s="12">
        <f>YEAR(Table1[[#This Row],[Date]])</f>
        <v>2024</v>
      </c>
      <c r="E152" s="3" t="str">
        <f>TEXT(Table1[[#This Row],[Date]],"mmm-yyyy")</f>
        <v>Nov-2024</v>
      </c>
      <c r="F152" s="1" t="s">
        <v>154</v>
      </c>
      <c r="G152" s="1" t="s">
        <v>155</v>
      </c>
      <c r="H152" s="1" t="str">
        <f>LEFT(Table1[[#This Row],[Customer_Name]],1)&amp;LEFT(MID(Table1[[#This Row],[Customer_Name]],FIND(" ",Table1[[#This Row],[Customer_Name]])+1,50),1)</f>
        <v>SD</v>
      </c>
      <c r="I152" s="1" t="s">
        <v>80</v>
      </c>
      <c r="J152" s="1" t="s">
        <v>81</v>
      </c>
      <c r="K152" s="1" t="s">
        <v>19</v>
      </c>
      <c r="L152" s="12">
        <v>3</v>
      </c>
      <c r="M152" s="16">
        <v>699.99</v>
      </c>
      <c r="N152" s="1" t="s">
        <v>34</v>
      </c>
      <c r="O152" s="1" t="s">
        <v>50</v>
      </c>
      <c r="P152" s="1" t="str">
        <f>UPPER(LEFT(Table1[[#This Row],[Region]],2))</f>
        <v>WE</v>
      </c>
      <c r="Q152" s="1" t="s">
        <v>36</v>
      </c>
      <c r="R152" s="3">
        <v>44583</v>
      </c>
      <c r="S152" s="20">
        <v>2099.9699999999998</v>
      </c>
      <c r="T152" s="23">
        <f t="shared" ca="1" si="6"/>
        <v>46057</v>
      </c>
      <c r="U152" s="26">
        <f t="shared" ca="1" si="7"/>
        <v>46057.595634259262</v>
      </c>
      <c r="V152" s="25">
        <f ca="1">DATEDIF(Table1[[#This Row],[Date]],TODAY(),"d")</f>
        <v>438</v>
      </c>
      <c r="W152" s="28">
        <f>EOMONTH(Table1[[#This Row],[Date]],0)</f>
        <v>45626</v>
      </c>
      <c r="X152" s="26">
        <f t="shared" ca="1" si="8"/>
        <v>46040.622929282406</v>
      </c>
    </row>
    <row r="153" spans="1:24" ht="15.75" thickBot="1" x14ac:dyDescent="0.3">
      <c r="A153" s="5" t="s">
        <v>292</v>
      </c>
      <c r="B153" s="3">
        <v>45622</v>
      </c>
      <c r="C153" s="12" t="str">
        <f>TEXT(Table1[[#This Row],[Date]],"mmm")</f>
        <v>Nov</v>
      </c>
      <c r="D153" s="12">
        <f>YEAR(Table1[[#This Row],[Date]])</f>
        <v>2024</v>
      </c>
      <c r="E153" s="3" t="str">
        <f>TEXT(Table1[[#This Row],[Date]],"mmm-yyyy")</f>
        <v>Nov-2024</v>
      </c>
      <c r="F153" s="1" t="s">
        <v>293</v>
      </c>
      <c r="G153" s="1" t="s">
        <v>294</v>
      </c>
      <c r="H153" s="1" t="str">
        <f>LEFT(Table1[[#This Row],[Customer_Name]],1)&amp;LEFT(MID(Table1[[#This Row],[Customer_Name]],FIND(" ",Table1[[#This Row],[Customer_Name]])+1,50),1)</f>
        <v>DW</v>
      </c>
      <c r="I153" s="1" t="s">
        <v>17</v>
      </c>
      <c r="J153" s="1" t="s">
        <v>18</v>
      </c>
      <c r="K153" s="1" t="s">
        <v>19</v>
      </c>
      <c r="L153" s="12">
        <v>5</v>
      </c>
      <c r="M153" s="16">
        <v>249.99</v>
      </c>
      <c r="N153" s="1" t="s">
        <v>26</v>
      </c>
      <c r="O153" s="1" t="s">
        <v>40</v>
      </c>
      <c r="P153" s="1" t="str">
        <f>UPPER(LEFT(Table1[[#This Row],[Region]],2))</f>
        <v>NO</v>
      </c>
      <c r="Q153" s="1" t="s">
        <v>22</v>
      </c>
      <c r="R153" s="3">
        <v>44873</v>
      </c>
      <c r="S153" s="20">
        <v>1249.95</v>
      </c>
      <c r="T153" s="23">
        <f t="shared" ca="1" si="6"/>
        <v>46057</v>
      </c>
      <c r="U153" s="26">
        <f t="shared" ca="1" si="7"/>
        <v>46057.595634259262</v>
      </c>
      <c r="V153" s="25">
        <f ca="1">DATEDIF(Table1[[#This Row],[Date]],TODAY(),"d")</f>
        <v>435</v>
      </c>
      <c r="W153" s="28">
        <f>EOMONTH(Table1[[#This Row],[Date]],0)</f>
        <v>45626</v>
      </c>
      <c r="X153" s="26">
        <f t="shared" ca="1" si="8"/>
        <v>46040.622929282406</v>
      </c>
    </row>
    <row r="154" spans="1:24" ht="15.75" thickBot="1" x14ac:dyDescent="0.3">
      <c r="A154" s="5" t="s">
        <v>295</v>
      </c>
      <c r="B154" s="3">
        <v>45623</v>
      </c>
      <c r="C154" s="12" t="str">
        <f>TEXT(Table1[[#This Row],[Date]],"mmm")</f>
        <v>Nov</v>
      </c>
      <c r="D154" s="12">
        <f>YEAR(Table1[[#This Row],[Date]])</f>
        <v>2024</v>
      </c>
      <c r="E154" s="3" t="str">
        <f>TEXT(Table1[[#This Row],[Date]],"mmm-yyyy")</f>
        <v>Nov-2024</v>
      </c>
      <c r="F154" s="1" t="s">
        <v>112</v>
      </c>
      <c r="G154" s="1" t="s">
        <v>113</v>
      </c>
      <c r="H154" s="1" t="str">
        <f>LEFT(Table1[[#This Row],[Customer_Name]],1)&amp;LEFT(MID(Table1[[#This Row],[Customer_Name]],FIND(" ",Table1[[#This Row],[Customer_Name]])+1,50),1)</f>
        <v>LM</v>
      </c>
      <c r="I154" s="1" t="s">
        <v>44</v>
      </c>
      <c r="J154" s="1" t="s">
        <v>45</v>
      </c>
      <c r="K154" s="1" t="s">
        <v>46</v>
      </c>
      <c r="L154" s="12">
        <v>2</v>
      </c>
      <c r="M154" s="16">
        <v>149.99</v>
      </c>
      <c r="N154" s="1" t="s">
        <v>20</v>
      </c>
      <c r="O154" s="1" t="s">
        <v>35</v>
      </c>
      <c r="P154" s="1" t="str">
        <f>UPPER(LEFT(Table1[[#This Row],[Region]],2))</f>
        <v>SO</v>
      </c>
      <c r="Q154" s="1" t="s">
        <v>36</v>
      </c>
      <c r="R154" s="3">
        <v>45101</v>
      </c>
      <c r="S154" s="20">
        <v>299.98</v>
      </c>
      <c r="T154" s="23">
        <f t="shared" ca="1" si="6"/>
        <v>46057</v>
      </c>
      <c r="U154" s="26">
        <f t="shared" ca="1" si="7"/>
        <v>46057.595634259262</v>
      </c>
      <c r="V154" s="25">
        <f ca="1">DATEDIF(Table1[[#This Row],[Date]],TODAY(),"d")</f>
        <v>434</v>
      </c>
      <c r="W154" s="28">
        <f>EOMONTH(Table1[[#This Row],[Date]],0)</f>
        <v>45626</v>
      </c>
      <c r="X154" s="26">
        <f t="shared" ca="1" si="8"/>
        <v>46040.622929282406</v>
      </c>
    </row>
    <row r="155" spans="1:24" ht="15.75" thickBot="1" x14ac:dyDescent="0.3">
      <c r="A155" s="5" t="s">
        <v>296</v>
      </c>
      <c r="B155" s="3">
        <v>45627</v>
      </c>
      <c r="C155" s="12" t="str">
        <f>TEXT(Table1[[#This Row],[Date]],"mmm")</f>
        <v>Dec</v>
      </c>
      <c r="D155" s="12">
        <f>YEAR(Table1[[#This Row],[Date]])</f>
        <v>2024</v>
      </c>
      <c r="E155" s="3" t="str">
        <f>TEXT(Table1[[#This Row],[Date]],"mmm-yyyy")</f>
        <v>Dec-2024</v>
      </c>
      <c r="F155" s="1" t="s">
        <v>29</v>
      </c>
      <c r="G155" s="1" t="s">
        <v>30</v>
      </c>
      <c r="H155" s="1" t="str">
        <f>LEFT(Table1[[#This Row],[Customer_Name]],1)&amp;LEFT(MID(Table1[[#This Row],[Customer_Name]],FIND(" ",Table1[[#This Row],[Customer_Name]])+1,50),1)</f>
        <v>KS</v>
      </c>
      <c r="I155" s="1" t="s">
        <v>105</v>
      </c>
      <c r="J155" s="1" t="s">
        <v>106</v>
      </c>
      <c r="K155" s="1" t="s">
        <v>46</v>
      </c>
      <c r="L155" s="12">
        <v>3</v>
      </c>
      <c r="M155" s="16">
        <v>299.99</v>
      </c>
      <c r="N155" s="1" t="s">
        <v>20</v>
      </c>
      <c r="O155" s="1" t="s">
        <v>35</v>
      </c>
      <c r="P155" s="1" t="str">
        <f>UPPER(LEFT(Table1[[#This Row],[Region]],2))</f>
        <v>SO</v>
      </c>
      <c r="Q155" s="1" t="s">
        <v>27</v>
      </c>
      <c r="R155" s="3">
        <v>44659</v>
      </c>
      <c r="S155" s="20">
        <v>899.97</v>
      </c>
      <c r="T155" s="23">
        <f t="shared" ca="1" si="6"/>
        <v>46057</v>
      </c>
      <c r="U155" s="26">
        <f t="shared" ca="1" si="7"/>
        <v>46057.595634259262</v>
      </c>
      <c r="V155" s="25">
        <f ca="1">DATEDIF(Table1[[#This Row],[Date]],TODAY(),"d")</f>
        <v>430</v>
      </c>
      <c r="W155" s="28">
        <f>EOMONTH(Table1[[#This Row],[Date]],0)</f>
        <v>45657</v>
      </c>
      <c r="X155" s="26">
        <f t="shared" ca="1" si="8"/>
        <v>46040.622929282406</v>
      </c>
    </row>
    <row r="156" spans="1:24" ht="15.75" thickBot="1" x14ac:dyDescent="0.3">
      <c r="A156" s="5" t="s">
        <v>297</v>
      </c>
      <c r="B156" s="3">
        <v>45627</v>
      </c>
      <c r="C156" s="12" t="str">
        <f>TEXT(Table1[[#This Row],[Date]],"mmm")</f>
        <v>Dec</v>
      </c>
      <c r="D156" s="12">
        <f>YEAR(Table1[[#This Row],[Date]])</f>
        <v>2024</v>
      </c>
      <c r="E156" s="3" t="str">
        <f>TEXT(Table1[[#This Row],[Date]],"mmm-yyyy")</f>
        <v>Dec-2024</v>
      </c>
      <c r="F156" s="1" t="s">
        <v>55</v>
      </c>
      <c r="G156" s="1" t="s">
        <v>56</v>
      </c>
      <c r="H156" s="1" t="str">
        <f>LEFT(Table1[[#This Row],[Customer_Name]],1)&amp;LEFT(MID(Table1[[#This Row],[Customer_Name]],FIND(" ",Table1[[#This Row],[Customer_Name]])+1,50),1)</f>
        <v>CA</v>
      </c>
      <c r="I156" s="1" t="s">
        <v>17</v>
      </c>
      <c r="J156" s="1" t="s">
        <v>18</v>
      </c>
      <c r="K156" s="1" t="s">
        <v>19</v>
      </c>
      <c r="L156" s="12">
        <v>5</v>
      </c>
      <c r="M156" s="16">
        <v>249.99</v>
      </c>
      <c r="N156" s="1" t="s">
        <v>20</v>
      </c>
      <c r="O156" s="1" t="s">
        <v>21</v>
      </c>
      <c r="P156" s="1" t="str">
        <f>UPPER(LEFT(Table1[[#This Row],[Region]],2))</f>
        <v>CE</v>
      </c>
      <c r="Q156" s="1" t="s">
        <v>27</v>
      </c>
      <c r="R156" s="3">
        <v>44485</v>
      </c>
      <c r="S156" s="20">
        <v>1249.95</v>
      </c>
      <c r="T156" s="23">
        <f t="shared" ca="1" si="6"/>
        <v>46057</v>
      </c>
      <c r="U156" s="26">
        <f t="shared" ca="1" si="7"/>
        <v>46057.595634259262</v>
      </c>
      <c r="V156" s="25">
        <f ca="1">DATEDIF(Table1[[#This Row],[Date]],TODAY(),"d")</f>
        <v>430</v>
      </c>
      <c r="W156" s="28">
        <f>EOMONTH(Table1[[#This Row],[Date]],0)</f>
        <v>45657</v>
      </c>
      <c r="X156" s="26">
        <f t="shared" ca="1" si="8"/>
        <v>46040.622929282406</v>
      </c>
    </row>
    <row r="157" spans="1:24" ht="15.75" thickBot="1" x14ac:dyDescent="0.3">
      <c r="A157" s="5" t="s">
        <v>298</v>
      </c>
      <c r="B157" s="3">
        <v>45627</v>
      </c>
      <c r="C157" s="12" t="str">
        <f>TEXT(Table1[[#This Row],[Date]],"mmm")</f>
        <v>Dec</v>
      </c>
      <c r="D157" s="12">
        <f>YEAR(Table1[[#This Row],[Date]])</f>
        <v>2024</v>
      </c>
      <c r="E157" s="3" t="str">
        <f>TEXT(Table1[[#This Row],[Date]],"mmm-yyyy")</f>
        <v>Dec-2024</v>
      </c>
      <c r="F157" s="1" t="s">
        <v>24</v>
      </c>
      <c r="G157" s="1" t="s">
        <v>25</v>
      </c>
      <c r="H157" s="1" t="str">
        <f>LEFT(Table1[[#This Row],[Customer_Name]],1)&amp;LEFT(MID(Table1[[#This Row],[Customer_Name]],FIND(" ",Table1[[#This Row],[Customer_Name]])+1,50),1)</f>
        <v>JJ</v>
      </c>
      <c r="I157" s="1" t="s">
        <v>52</v>
      </c>
      <c r="J157" s="1" t="s">
        <v>53</v>
      </c>
      <c r="K157" s="1" t="s">
        <v>19</v>
      </c>
      <c r="L157" s="12">
        <v>2</v>
      </c>
      <c r="M157" s="16">
        <v>149.99</v>
      </c>
      <c r="N157" s="1" t="s">
        <v>20</v>
      </c>
      <c r="O157" s="1" t="s">
        <v>35</v>
      </c>
      <c r="P157" s="1" t="str">
        <f>UPPER(LEFT(Table1[[#This Row],[Region]],2))</f>
        <v>SO</v>
      </c>
      <c r="Q157" s="1" t="s">
        <v>27</v>
      </c>
      <c r="R157" s="3">
        <v>44475</v>
      </c>
      <c r="S157" s="20">
        <v>299.98</v>
      </c>
      <c r="T157" s="23">
        <f t="shared" ca="1" si="6"/>
        <v>46057</v>
      </c>
      <c r="U157" s="26">
        <f t="shared" ca="1" si="7"/>
        <v>46057.595634259262</v>
      </c>
      <c r="V157" s="25">
        <f ca="1">DATEDIF(Table1[[#This Row],[Date]],TODAY(),"d")</f>
        <v>430</v>
      </c>
      <c r="W157" s="28">
        <f>EOMONTH(Table1[[#This Row],[Date]],0)</f>
        <v>45657</v>
      </c>
      <c r="X157" s="26">
        <f t="shared" ca="1" si="8"/>
        <v>46040.622929282406</v>
      </c>
    </row>
    <row r="158" spans="1:24" ht="15.75" thickBot="1" x14ac:dyDescent="0.3">
      <c r="A158" s="5" t="s">
        <v>299</v>
      </c>
      <c r="B158" s="3">
        <v>45627</v>
      </c>
      <c r="C158" s="12" t="str">
        <f>TEXT(Table1[[#This Row],[Date]],"mmm")</f>
        <v>Dec</v>
      </c>
      <c r="D158" s="12">
        <f>YEAR(Table1[[#This Row],[Date]])</f>
        <v>2024</v>
      </c>
      <c r="E158" s="3" t="str">
        <f>TEXT(Table1[[#This Row],[Date]],"mmm-yyyy")</f>
        <v>Dec-2024</v>
      </c>
      <c r="F158" s="1" t="s">
        <v>86</v>
      </c>
      <c r="G158" s="1" t="s">
        <v>87</v>
      </c>
      <c r="H158" s="1" t="str">
        <f>LEFT(Table1[[#This Row],[Customer_Name]],1)&amp;LEFT(MID(Table1[[#This Row],[Customer_Name]],FIND(" ",Table1[[#This Row],[Customer_Name]])+1,50),1)</f>
        <v>MC</v>
      </c>
      <c r="I158" s="1" t="s">
        <v>80</v>
      </c>
      <c r="J158" s="1" t="s">
        <v>81</v>
      </c>
      <c r="K158" s="1" t="s">
        <v>19</v>
      </c>
      <c r="L158" s="12">
        <v>5</v>
      </c>
      <c r="M158" s="16">
        <v>699.99</v>
      </c>
      <c r="N158" s="1" t="s">
        <v>57</v>
      </c>
      <c r="O158" s="1" t="s">
        <v>50</v>
      </c>
      <c r="P158" s="1" t="str">
        <f>UPPER(LEFT(Table1[[#This Row],[Region]],2))</f>
        <v>WE</v>
      </c>
      <c r="Q158" s="1" t="s">
        <v>36</v>
      </c>
      <c r="R158" s="3">
        <v>44944</v>
      </c>
      <c r="S158" s="20">
        <v>3499.95</v>
      </c>
      <c r="T158" s="23">
        <f t="shared" ca="1" si="6"/>
        <v>46057</v>
      </c>
      <c r="U158" s="26">
        <f t="shared" ca="1" si="7"/>
        <v>46057.595634259262</v>
      </c>
      <c r="V158" s="25">
        <f ca="1">DATEDIF(Table1[[#This Row],[Date]],TODAY(),"d")</f>
        <v>430</v>
      </c>
      <c r="W158" s="28">
        <f>EOMONTH(Table1[[#This Row],[Date]],0)</f>
        <v>45657</v>
      </c>
      <c r="X158" s="26">
        <f t="shared" ca="1" si="8"/>
        <v>46040.622929282406</v>
      </c>
    </row>
    <row r="159" spans="1:24" ht="15.75" thickBot="1" x14ac:dyDescent="0.3">
      <c r="A159" s="5" t="s">
        <v>300</v>
      </c>
      <c r="B159" s="3">
        <v>45629</v>
      </c>
      <c r="C159" s="12" t="str">
        <f>TEXT(Table1[[#This Row],[Date]],"mmm")</f>
        <v>Dec</v>
      </c>
      <c r="D159" s="12">
        <f>YEAR(Table1[[#This Row],[Date]])</f>
        <v>2024</v>
      </c>
      <c r="E159" s="3" t="str">
        <f>TEXT(Table1[[#This Row],[Date]],"mmm-yyyy")</f>
        <v>Dec-2024</v>
      </c>
      <c r="F159" s="1" t="s">
        <v>252</v>
      </c>
      <c r="G159" s="1" t="s">
        <v>253</v>
      </c>
      <c r="H159" s="1" t="str">
        <f>LEFT(Table1[[#This Row],[Customer_Name]],1)&amp;LEFT(MID(Table1[[#This Row],[Customer_Name]],FIND(" ",Table1[[#This Row],[Customer_Name]])+1,50),1)</f>
        <v>WW</v>
      </c>
      <c r="I159" s="1" t="s">
        <v>17</v>
      </c>
      <c r="J159" s="1" t="s">
        <v>18</v>
      </c>
      <c r="K159" s="1" t="s">
        <v>19</v>
      </c>
      <c r="L159" s="12">
        <v>4</v>
      </c>
      <c r="M159" s="16">
        <v>249.99</v>
      </c>
      <c r="N159" s="1" t="s">
        <v>34</v>
      </c>
      <c r="O159" s="1" t="s">
        <v>63</v>
      </c>
      <c r="P159" s="1" t="str">
        <f>UPPER(LEFT(Table1[[#This Row],[Region]],2))</f>
        <v>EA</v>
      </c>
      <c r="Q159" s="1" t="s">
        <v>27</v>
      </c>
      <c r="R159" s="3">
        <v>45098</v>
      </c>
      <c r="S159" s="20">
        <v>999.96</v>
      </c>
      <c r="T159" s="23">
        <f t="shared" ca="1" si="6"/>
        <v>46057</v>
      </c>
      <c r="U159" s="26">
        <f t="shared" ca="1" si="7"/>
        <v>46057.595634259262</v>
      </c>
      <c r="V159" s="25">
        <f ca="1">DATEDIF(Table1[[#This Row],[Date]],TODAY(),"d")</f>
        <v>428</v>
      </c>
      <c r="W159" s="28">
        <f>EOMONTH(Table1[[#This Row],[Date]],0)</f>
        <v>45657</v>
      </c>
      <c r="X159" s="26">
        <f t="shared" ca="1" si="8"/>
        <v>46040.622929282406</v>
      </c>
    </row>
    <row r="160" spans="1:24" ht="15.75" thickBot="1" x14ac:dyDescent="0.3">
      <c r="A160" s="5" t="s">
        <v>301</v>
      </c>
      <c r="B160" s="3">
        <v>45630</v>
      </c>
      <c r="C160" s="12" t="str">
        <f>TEXT(Table1[[#This Row],[Date]],"mmm")</f>
        <v>Dec</v>
      </c>
      <c r="D160" s="12">
        <f>YEAR(Table1[[#This Row],[Date]])</f>
        <v>2024</v>
      </c>
      <c r="E160" s="3" t="str">
        <f>TEXT(Table1[[#This Row],[Date]],"mmm-yyyy")</f>
        <v>Dec-2024</v>
      </c>
      <c r="F160" s="1" t="s">
        <v>48</v>
      </c>
      <c r="G160" s="1" t="s">
        <v>49</v>
      </c>
      <c r="H160" s="1" t="str">
        <f>LEFT(Table1[[#This Row],[Customer_Name]],1)&amp;LEFT(MID(Table1[[#This Row],[Customer_Name]],FIND(" ",Table1[[#This Row],[Customer_Name]])+1,50),1)</f>
        <v>DN</v>
      </c>
      <c r="I160" s="1" t="s">
        <v>80</v>
      </c>
      <c r="J160" s="1" t="s">
        <v>81</v>
      </c>
      <c r="K160" s="1" t="s">
        <v>19</v>
      </c>
      <c r="L160" s="12">
        <v>4</v>
      </c>
      <c r="M160" s="16">
        <v>699.99</v>
      </c>
      <c r="N160" s="1" t="s">
        <v>26</v>
      </c>
      <c r="O160" s="1" t="s">
        <v>40</v>
      </c>
      <c r="P160" s="1" t="str">
        <f>UPPER(LEFT(Table1[[#This Row],[Region]],2))</f>
        <v>NO</v>
      </c>
      <c r="Q160" s="1" t="s">
        <v>27</v>
      </c>
      <c r="R160" s="3">
        <v>44703</v>
      </c>
      <c r="S160" s="20">
        <v>2799.96</v>
      </c>
      <c r="T160" s="23">
        <f t="shared" ca="1" si="6"/>
        <v>46057</v>
      </c>
      <c r="U160" s="26">
        <f t="shared" ca="1" si="7"/>
        <v>46057.595634259262</v>
      </c>
      <c r="V160" s="25">
        <f ca="1">DATEDIF(Table1[[#This Row],[Date]],TODAY(),"d")</f>
        <v>427</v>
      </c>
      <c r="W160" s="28">
        <f>EOMONTH(Table1[[#This Row],[Date]],0)</f>
        <v>45657</v>
      </c>
      <c r="X160" s="26">
        <f t="shared" ca="1" si="8"/>
        <v>46040.622929282406</v>
      </c>
    </row>
    <row r="161" spans="1:24" ht="15.75" thickBot="1" x14ac:dyDescent="0.3">
      <c r="A161" s="5" t="s">
        <v>302</v>
      </c>
      <c r="B161" s="3">
        <v>45635</v>
      </c>
      <c r="C161" s="12" t="str">
        <f>TEXT(Table1[[#This Row],[Date]],"mmm")</f>
        <v>Dec</v>
      </c>
      <c r="D161" s="12">
        <f>YEAR(Table1[[#This Row],[Date]])</f>
        <v>2024</v>
      </c>
      <c r="E161" s="3" t="str">
        <f>TEXT(Table1[[#This Row],[Date]],"mmm-yyyy")</f>
        <v>Dec-2024</v>
      </c>
      <c r="F161" s="1" t="s">
        <v>108</v>
      </c>
      <c r="G161" s="1" t="s">
        <v>109</v>
      </c>
      <c r="H161" s="1" t="str">
        <f>LEFT(Table1[[#This Row],[Customer_Name]],1)&amp;LEFT(MID(Table1[[#This Row],[Customer_Name]],FIND(" ",Table1[[#This Row],[Customer_Name]])+1,50),1)</f>
        <v>NC</v>
      </c>
      <c r="I161" s="1" t="s">
        <v>17</v>
      </c>
      <c r="J161" s="1" t="s">
        <v>18</v>
      </c>
      <c r="K161" s="1" t="s">
        <v>19</v>
      </c>
      <c r="L161" s="12">
        <v>2</v>
      </c>
      <c r="M161" s="16">
        <v>249.99</v>
      </c>
      <c r="N161" s="1" t="s">
        <v>26</v>
      </c>
      <c r="O161" s="1" t="s">
        <v>21</v>
      </c>
      <c r="P161" s="1" t="str">
        <f>UPPER(LEFT(Table1[[#This Row],[Region]],2))</f>
        <v>CE</v>
      </c>
      <c r="Q161" s="1" t="s">
        <v>27</v>
      </c>
      <c r="R161" s="3">
        <v>44396</v>
      </c>
      <c r="S161" s="20">
        <v>499.98</v>
      </c>
      <c r="T161" s="23">
        <f t="shared" ca="1" si="6"/>
        <v>46057</v>
      </c>
      <c r="U161" s="26">
        <f t="shared" ca="1" si="7"/>
        <v>46057.595634259262</v>
      </c>
      <c r="V161" s="25">
        <f ca="1">DATEDIF(Table1[[#This Row],[Date]],TODAY(),"d")</f>
        <v>422</v>
      </c>
      <c r="W161" s="28">
        <f>EOMONTH(Table1[[#This Row],[Date]],0)</f>
        <v>45657</v>
      </c>
      <c r="X161" s="26">
        <f t="shared" ca="1" si="8"/>
        <v>46040.622929282406</v>
      </c>
    </row>
    <row r="162" spans="1:24" ht="15.75" thickBot="1" x14ac:dyDescent="0.3">
      <c r="A162" s="5" t="s">
        <v>303</v>
      </c>
      <c r="B162" s="3">
        <v>45635</v>
      </c>
      <c r="C162" s="12" t="str">
        <f>TEXT(Table1[[#This Row],[Date]],"mmm")</f>
        <v>Dec</v>
      </c>
      <c r="D162" s="12">
        <f>YEAR(Table1[[#This Row],[Date]])</f>
        <v>2024</v>
      </c>
      <c r="E162" s="3" t="str">
        <f>TEXT(Table1[[#This Row],[Date]],"mmm-yyyy")</f>
        <v>Dec-2024</v>
      </c>
      <c r="F162" s="1" t="s">
        <v>304</v>
      </c>
      <c r="G162" s="1" t="s">
        <v>305</v>
      </c>
      <c r="H162" s="1" t="str">
        <f>LEFT(Table1[[#This Row],[Customer_Name]],1)&amp;LEFT(MID(Table1[[#This Row],[Customer_Name]],FIND(" ",Table1[[#This Row],[Customer_Name]])+1,50),1)</f>
        <v>JJ</v>
      </c>
      <c r="I162" s="1" t="s">
        <v>31</v>
      </c>
      <c r="J162" s="1" t="s">
        <v>32</v>
      </c>
      <c r="K162" s="1" t="s">
        <v>33</v>
      </c>
      <c r="L162" s="12">
        <v>3</v>
      </c>
      <c r="M162" s="16">
        <v>59.99</v>
      </c>
      <c r="N162" s="1" t="s">
        <v>20</v>
      </c>
      <c r="O162" s="1" t="s">
        <v>21</v>
      </c>
      <c r="P162" s="1" t="str">
        <f>UPPER(LEFT(Table1[[#This Row],[Region]],2))</f>
        <v>CE</v>
      </c>
      <c r="Q162" s="1" t="s">
        <v>27</v>
      </c>
      <c r="R162" s="3">
        <v>45052</v>
      </c>
      <c r="S162" s="20">
        <v>179.97</v>
      </c>
      <c r="T162" s="23">
        <f t="shared" ca="1" si="6"/>
        <v>46057</v>
      </c>
      <c r="U162" s="26">
        <f t="shared" ca="1" si="7"/>
        <v>46057.595634259262</v>
      </c>
      <c r="V162" s="25">
        <f ca="1">DATEDIF(Table1[[#This Row],[Date]],TODAY(),"d")</f>
        <v>422</v>
      </c>
      <c r="W162" s="28">
        <f>EOMONTH(Table1[[#This Row],[Date]],0)</f>
        <v>45657</v>
      </c>
      <c r="X162" s="26">
        <f t="shared" ca="1" si="8"/>
        <v>46040.622929282406</v>
      </c>
    </row>
    <row r="163" spans="1:24" ht="15.75" thickBot="1" x14ac:dyDescent="0.3">
      <c r="A163" s="5" t="s">
        <v>306</v>
      </c>
      <c r="B163" s="3">
        <v>45635</v>
      </c>
      <c r="C163" s="12" t="str">
        <f>TEXT(Table1[[#This Row],[Date]],"mmm")</f>
        <v>Dec</v>
      </c>
      <c r="D163" s="12">
        <f>YEAR(Table1[[#This Row],[Date]])</f>
        <v>2024</v>
      </c>
      <c r="E163" s="3" t="str">
        <f>TEXT(Table1[[#This Row],[Date]],"mmm-yyyy")</f>
        <v>Dec-2024</v>
      </c>
      <c r="F163" s="1" t="s">
        <v>141</v>
      </c>
      <c r="G163" s="1" t="s">
        <v>142</v>
      </c>
      <c r="H163" s="1" t="str">
        <f>LEFT(Table1[[#This Row],[Customer_Name]],1)&amp;LEFT(MID(Table1[[#This Row],[Customer_Name]],FIND(" ",Table1[[#This Row],[Customer_Name]])+1,50),1)</f>
        <v>JT</v>
      </c>
      <c r="I163" s="1" t="s">
        <v>114</v>
      </c>
      <c r="J163" s="1" t="s">
        <v>115</v>
      </c>
      <c r="K163" s="1" t="s">
        <v>33</v>
      </c>
      <c r="L163" s="12">
        <v>4</v>
      </c>
      <c r="M163" s="16">
        <v>79.989999999999995</v>
      </c>
      <c r="N163" s="1" t="s">
        <v>57</v>
      </c>
      <c r="O163" s="1" t="s">
        <v>63</v>
      </c>
      <c r="P163" s="1" t="str">
        <f>UPPER(LEFT(Table1[[#This Row],[Region]],2))</f>
        <v>EA</v>
      </c>
      <c r="Q163" s="1" t="s">
        <v>36</v>
      </c>
      <c r="R163" s="3">
        <v>44921</v>
      </c>
      <c r="S163" s="20">
        <v>319.95999999999998</v>
      </c>
      <c r="T163" s="23">
        <f t="shared" ca="1" si="6"/>
        <v>46057</v>
      </c>
      <c r="U163" s="26">
        <f t="shared" ca="1" si="7"/>
        <v>46057.595634259262</v>
      </c>
      <c r="V163" s="25">
        <f ca="1">DATEDIF(Table1[[#This Row],[Date]],TODAY(),"d")</f>
        <v>422</v>
      </c>
      <c r="W163" s="28">
        <f>EOMONTH(Table1[[#This Row],[Date]],0)</f>
        <v>45657</v>
      </c>
      <c r="X163" s="26">
        <f t="shared" ca="1" si="8"/>
        <v>46040.622929282406</v>
      </c>
    </row>
    <row r="164" spans="1:24" ht="15.75" thickBot="1" x14ac:dyDescent="0.3">
      <c r="A164" s="5" t="s">
        <v>307</v>
      </c>
      <c r="B164" s="3">
        <v>45636</v>
      </c>
      <c r="C164" s="12" t="str">
        <f>TEXT(Table1[[#This Row],[Date]],"mmm")</f>
        <v>Dec</v>
      </c>
      <c r="D164" s="12">
        <f>YEAR(Table1[[#This Row],[Date]])</f>
        <v>2024</v>
      </c>
      <c r="E164" s="3" t="str">
        <f>TEXT(Table1[[#This Row],[Date]],"mmm-yyyy")</f>
        <v>Dec-2024</v>
      </c>
      <c r="F164" s="1" t="s">
        <v>120</v>
      </c>
      <c r="G164" s="1" t="s">
        <v>121</v>
      </c>
      <c r="H164" s="1" t="str">
        <f>LEFT(Table1[[#This Row],[Customer_Name]],1)&amp;LEFT(MID(Table1[[#This Row],[Customer_Name]],FIND(" ",Table1[[#This Row],[Customer_Name]])+1,50),1)</f>
        <v>HR</v>
      </c>
      <c r="I164" s="1" t="s">
        <v>114</v>
      </c>
      <c r="J164" s="1" t="s">
        <v>115</v>
      </c>
      <c r="K164" s="1" t="s">
        <v>33</v>
      </c>
      <c r="L164" s="12">
        <v>3</v>
      </c>
      <c r="M164" s="16">
        <v>79.989999999999995</v>
      </c>
      <c r="N164" s="1" t="s">
        <v>57</v>
      </c>
      <c r="O164" s="1" t="s">
        <v>63</v>
      </c>
      <c r="P164" s="1" t="str">
        <f>UPPER(LEFT(Table1[[#This Row],[Region]],2))</f>
        <v>EA</v>
      </c>
      <c r="Q164" s="1" t="s">
        <v>36</v>
      </c>
      <c r="R164" s="3">
        <v>44779</v>
      </c>
      <c r="S164" s="20">
        <v>239.97</v>
      </c>
      <c r="T164" s="23">
        <f t="shared" ca="1" si="6"/>
        <v>46057</v>
      </c>
      <c r="U164" s="26">
        <f t="shared" ca="1" si="7"/>
        <v>46057.595634259262</v>
      </c>
      <c r="V164" s="25">
        <f ca="1">DATEDIF(Table1[[#This Row],[Date]],TODAY(),"d")</f>
        <v>421</v>
      </c>
      <c r="W164" s="28">
        <f>EOMONTH(Table1[[#This Row],[Date]],0)</f>
        <v>45657</v>
      </c>
      <c r="X164" s="26">
        <f t="shared" ca="1" si="8"/>
        <v>46040.622929282406</v>
      </c>
    </row>
    <row r="165" spans="1:24" ht="15.75" thickBot="1" x14ac:dyDescent="0.3">
      <c r="A165" s="5" t="s">
        <v>308</v>
      </c>
      <c r="B165" s="3">
        <v>45638</v>
      </c>
      <c r="C165" s="12" t="str">
        <f>TEXT(Table1[[#This Row],[Date]],"mmm")</f>
        <v>Dec</v>
      </c>
      <c r="D165" s="12">
        <f>YEAR(Table1[[#This Row],[Date]])</f>
        <v>2024</v>
      </c>
      <c r="E165" s="3" t="str">
        <f>TEXT(Table1[[#This Row],[Date]],"mmm-yyyy")</f>
        <v>Dec-2024</v>
      </c>
      <c r="F165" s="1" t="s">
        <v>72</v>
      </c>
      <c r="G165" s="1" t="s">
        <v>73</v>
      </c>
      <c r="H165" s="1" t="str">
        <f>LEFT(Table1[[#This Row],[Customer_Name]],1)&amp;LEFT(MID(Table1[[#This Row],[Customer_Name]],FIND(" ",Table1[[#This Row],[Customer_Name]])+1,50),1)</f>
        <v>PR</v>
      </c>
      <c r="I165" s="1" t="s">
        <v>61</v>
      </c>
      <c r="J165" s="1" t="s">
        <v>62</v>
      </c>
      <c r="K165" s="1" t="s">
        <v>19</v>
      </c>
      <c r="L165" s="12">
        <v>2</v>
      </c>
      <c r="M165" s="16">
        <v>899.99</v>
      </c>
      <c r="N165" s="1" t="s">
        <v>20</v>
      </c>
      <c r="O165" s="1" t="s">
        <v>40</v>
      </c>
      <c r="P165" s="1" t="str">
        <f>UPPER(LEFT(Table1[[#This Row],[Region]],2))</f>
        <v>NO</v>
      </c>
      <c r="Q165" s="1" t="s">
        <v>22</v>
      </c>
      <c r="R165" s="3">
        <v>44406</v>
      </c>
      <c r="S165" s="20">
        <v>1799.98</v>
      </c>
      <c r="T165" s="23">
        <f t="shared" ca="1" si="6"/>
        <v>46057</v>
      </c>
      <c r="U165" s="26">
        <f t="shared" ca="1" si="7"/>
        <v>46057.595634259262</v>
      </c>
      <c r="V165" s="25">
        <f ca="1">DATEDIF(Table1[[#This Row],[Date]],TODAY(),"d")</f>
        <v>419</v>
      </c>
      <c r="W165" s="28">
        <f>EOMONTH(Table1[[#This Row],[Date]],0)</f>
        <v>45657</v>
      </c>
      <c r="X165" s="26">
        <f t="shared" ca="1" si="8"/>
        <v>46040.622929282406</v>
      </c>
    </row>
    <row r="166" spans="1:24" ht="15.75" thickBot="1" x14ac:dyDescent="0.3">
      <c r="A166" s="5" t="s">
        <v>309</v>
      </c>
      <c r="B166" s="3">
        <v>45641</v>
      </c>
      <c r="C166" s="12" t="str">
        <f>TEXT(Table1[[#This Row],[Date]],"mmm")</f>
        <v>Dec</v>
      </c>
      <c r="D166" s="12">
        <f>YEAR(Table1[[#This Row],[Date]])</f>
        <v>2024</v>
      </c>
      <c r="E166" s="3" t="str">
        <f>TEXT(Table1[[#This Row],[Date]],"mmm-yyyy")</f>
        <v>Dec-2024</v>
      </c>
      <c r="F166" s="1" t="s">
        <v>182</v>
      </c>
      <c r="G166" s="1" t="s">
        <v>183</v>
      </c>
      <c r="H166" s="1" t="str">
        <f>LEFT(Table1[[#This Row],[Customer_Name]],1)&amp;LEFT(MID(Table1[[#This Row],[Customer_Name]],FIND(" ",Table1[[#This Row],[Customer_Name]])+1,50),1)</f>
        <v>DM</v>
      </c>
      <c r="I166" s="1" t="s">
        <v>44</v>
      </c>
      <c r="J166" s="1" t="s">
        <v>45</v>
      </c>
      <c r="K166" s="1" t="s">
        <v>46</v>
      </c>
      <c r="L166" s="12">
        <v>1</v>
      </c>
      <c r="M166" s="16">
        <v>149.99</v>
      </c>
      <c r="N166" s="1" t="s">
        <v>57</v>
      </c>
      <c r="O166" s="1" t="s">
        <v>63</v>
      </c>
      <c r="P166" s="1" t="str">
        <f>UPPER(LEFT(Table1[[#This Row],[Region]],2))</f>
        <v>EA</v>
      </c>
      <c r="Q166" s="1" t="s">
        <v>36</v>
      </c>
      <c r="R166" s="3">
        <v>45200</v>
      </c>
      <c r="S166" s="20">
        <v>149.99</v>
      </c>
      <c r="T166" s="23">
        <f t="shared" ca="1" si="6"/>
        <v>46057</v>
      </c>
      <c r="U166" s="26">
        <f t="shared" ca="1" si="7"/>
        <v>46057.595634259262</v>
      </c>
      <c r="V166" s="25">
        <f ca="1">DATEDIF(Table1[[#This Row],[Date]],TODAY(),"d")</f>
        <v>416</v>
      </c>
      <c r="W166" s="28">
        <f>EOMONTH(Table1[[#This Row],[Date]],0)</f>
        <v>45657</v>
      </c>
      <c r="X166" s="26">
        <f t="shared" ca="1" si="8"/>
        <v>46040.622929282406</v>
      </c>
    </row>
    <row r="167" spans="1:24" ht="15.75" thickBot="1" x14ac:dyDescent="0.3">
      <c r="A167" s="5" t="s">
        <v>310</v>
      </c>
      <c r="B167" s="3">
        <v>45641</v>
      </c>
      <c r="C167" s="12" t="str">
        <f>TEXT(Table1[[#This Row],[Date]],"mmm")</f>
        <v>Dec</v>
      </c>
      <c r="D167" s="12">
        <f>YEAR(Table1[[#This Row],[Date]])</f>
        <v>2024</v>
      </c>
      <c r="E167" s="3" t="str">
        <f>TEXT(Table1[[#This Row],[Date]],"mmm-yyyy")</f>
        <v>Dec-2024</v>
      </c>
      <c r="F167" s="1" t="s">
        <v>138</v>
      </c>
      <c r="G167" s="1" t="s">
        <v>139</v>
      </c>
      <c r="H167" s="1" t="str">
        <f>LEFT(Table1[[#This Row],[Customer_Name]],1)&amp;LEFT(MID(Table1[[#This Row],[Customer_Name]],FIND(" ",Table1[[#This Row],[Customer_Name]])+1,50),1)</f>
        <v>ST</v>
      </c>
      <c r="I167" s="1" t="s">
        <v>105</v>
      </c>
      <c r="J167" s="1" t="s">
        <v>106</v>
      </c>
      <c r="K167" s="1" t="s">
        <v>46</v>
      </c>
      <c r="L167" s="12">
        <v>2</v>
      </c>
      <c r="M167" s="16">
        <v>299.99</v>
      </c>
      <c r="N167" s="1" t="s">
        <v>20</v>
      </c>
      <c r="O167" s="1" t="s">
        <v>63</v>
      </c>
      <c r="P167" s="1" t="str">
        <f>UPPER(LEFT(Table1[[#This Row],[Region]],2))</f>
        <v>EA</v>
      </c>
      <c r="Q167" s="1" t="s">
        <v>27</v>
      </c>
      <c r="R167" s="3">
        <v>44724</v>
      </c>
      <c r="S167" s="20">
        <v>599.98</v>
      </c>
      <c r="T167" s="23">
        <f t="shared" ca="1" si="6"/>
        <v>46057</v>
      </c>
      <c r="U167" s="26">
        <f t="shared" ca="1" si="7"/>
        <v>46057.595634259262</v>
      </c>
      <c r="V167" s="25">
        <f ca="1">DATEDIF(Table1[[#This Row],[Date]],TODAY(),"d")</f>
        <v>416</v>
      </c>
      <c r="W167" s="28">
        <f>EOMONTH(Table1[[#This Row],[Date]],0)</f>
        <v>45657</v>
      </c>
      <c r="X167" s="26">
        <f t="shared" ca="1" si="8"/>
        <v>46040.622929282406</v>
      </c>
    </row>
    <row r="168" spans="1:24" ht="15.75" thickBot="1" x14ac:dyDescent="0.3">
      <c r="A168" s="5" t="s">
        <v>311</v>
      </c>
      <c r="B168" s="3">
        <v>45644</v>
      </c>
      <c r="C168" s="12" t="str">
        <f>TEXT(Table1[[#This Row],[Date]],"mmm")</f>
        <v>Dec</v>
      </c>
      <c r="D168" s="12">
        <f>YEAR(Table1[[#This Row],[Date]])</f>
        <v>2024</v>
      </c>
      <c r="E168" s="3" t="str">
        <f>TEXT(Table1[[#This Row],[Date]],"mmm-yyyy")</f>
        <v>Dec-2024</v>
      </c>
      <c r="F168" s="1" t="s">
        <v>132</v>
      </c>
      <c r="G168" s="1" t="s">
        <v>133</v>
      </c>
      <c r="H168" s="1" t="str">
        <f>LEFT(Table1[[#This Row],[Customer_Name]],1)&amp;LEFT(MID(Table1[[#This Row],[Customer_Name]],FIND(" ",Table1[[#This Row],[Customer_Name]])+1,50),1)</f>
        <v>EW</v>
      </c>
      <c r="I168" s="1" t="s">
        <v>31</v>
      </c>
      <c r="J168" s="1" t="s">
        <v>32</v>
      </c>
      <c r="K168" s="1" t="s">
        <v>33</v>
      </c>
      <c r="L168" s="12">
        <v>2</v>
      </c>
      <c r="M168" s="16">
        <v>59.99</v>
      </c>
      <c r="N168" s="1" t="s">
        <v>20</v>
      </c>
      <c r="O168" s="1" t="s">
        <v>50</v>
      </c>
      <c r="P168" s="1" t="str">
        <f>UPPER(LEFT(Table1[[#This Row],[Region]],2))</f>
        <v>WE</v>
      </c>
      <c r="Q168" s="1" t="s">
        <v>22</v>
      </c>
      <c r="R168" s="3">
        <v>45191</v>
      </c>
      <c r="S168" s="20">
        <v>119.98</v>
      </c>
      <c r="T168" s="23">
        <f t="shared" ca="1" si="6"/>
        <v>46057</v>
      </c>
      <c r="U168" s="26">
        <f t="shared" ca="1" si="7"/>
        <v>46057.595634259262</v>
      </c>
      <c r="V168" s="25">
        <f ca="1">DATEDIF(Table1[[#This Row],[Date]],TODAY(),"d")</f>
        <v>413</v>
      </c>
      <c r="W168" s="28">
        <f>EOMONTH(Table1[[#This Row],[Date]],0)</f>
        <v>45657</v>
      </c>
      <c r="X168" s="26">
        <f t="shared" ca="1" si="8"/>
        <v>46040.622929282406</v>
      </c>
    </row>
    <row r="169" spans="1:24" ht="15.75" thickBot="1" x14ac:dyDescent="0.3">
      <c r="A169" s="5" t="s">
        <v>312</v>
      </c>
      <c r="B169" s="3">
        <v>45645</v>
      </c>
      <c r="C169" s="12" t="str">
        <f>TEXT(Table1[[#This Row],[Date]],"mmm")</f>
        <v>Dec</v>
      </c>
      <c r="D169" s="12">
        <f>YEAR(Table1[[#This Row],[Date]])</f>
        <v>2024</v>
      </c>
      <c r="E169" s="3" t="str">
        <f>TEXT(Table1[[#This Row],[Date]],"mmm-yyyy")</f>
        <v>Dec-2024</v>
      </c>
      <c r="F169" s="1" t="s">
        <v>182</v>
      </c>
      <c r="G169" s="1" t="s">
        <v>183</v>
      </c>
      <c r="H169" s="1" t="str">
        <f>LEFT(Table1[[#This Row],[Customer_Name]],1)&amp;LEFT(MID(Table1[[#This Row],[Customer_Name]],FIND(" ",Table1[[#This Row],[Customer_Name]])+1,50),1)</f>
        <v>DM</v>
      </c>
      <c r="I169" s="1" t="s">
        <v>117</v>
      </c>
      <c r="J169" s="1" t="s">
        <v>118</v>
      </c>
      <c r="K169" s="1" t="s">
        <v>19</v>
      </c>
      <c r="L169" s="12">
        <v>1</v>
      </c>
      <c r="M169" s="16">
        <v>89.99</v>
      </c>
      <c r="N169" s="1" t="s">
        <v>57</v>
      </c>
      <c r="O169" s="1" t="s">
        <v>21</v>
      </c>
      <c r="P169" s="1" t="str">
        <f>UPPER(LEFT(Table1[[#This Row],[Region]],2))</f>
        <v>CE</v>
      </c>
      <c r="Q169" s="1" t="s">
        <v>36</v>
      </c>
      <c r="R169" s="3">
        <v>44760</v>
      </c>
      <c r="S169" s="20">
        <v>89.99</v>
      </c>
      <c r="T169" s="23">
        <f t="shared" ca="1" si="6"/>
        <v>46057</v>
      </c>
      <c r="U169" s="26">
        <f t="shared" ca="1" si="7"/>
        <v>46057.595634259262</v>
      </c>
      <c r="V169" s="25">
        <f ca="1">DATEDIF(Table1[[#This Row],[Date]],TODAY(),"d")</f>
        <v>412</v>
      </c>
      <c r="W169" s="28">
        <f>EOMONTH(Table1[[#This Row],[Date]],0)</f>
        <v>45657</v>
      </c>
      <c r="X169" s="26">
        <f t="shared" ca="1" si="8"/>
        <v>46040.622929282406</v>
      </c>
    </row>
    <row r="170" spans="1:24" ht="15.75" thickBot="1" x14ac:dyDescent="0.3">
      <c r="A170" s="5" t="s">
        <v>313</v>
      </c>
      <c r="B170" s="3">
        <v>45645</v>
      </c>
      <c r="C170" s="12" t="str">
        <f>TEXT(Table1[[#This Row],[Date]],"mmm")</f>
        <v>Dec</v>
      </c>
      <c r="D170" s="12">
        <f>YEAR(Table1[[#This Row],[Date]])</f>
        <v>2024</v>
      </c>
      <c r="E170" s="3" t="str">
        <f>TEXT(Table1[[#This Row],[Date]],"mmm-yyyy")</f>
        <v>Dec-2024</v>
      </c>
      <c r="F170" s="1" t="s">
        <v>147</v>
      </c>
      <c r="G170" s="1" t="s">
        <v>148</v>
      </c>
      <c r="H170" s="1" t="str">
        <f>LEFT(Table1[[#This Row],[Customer_Name]],1)&amp;LEFT(MID(Table1[[#This Row],[Customer_Name]],FIND(" ",Table1[[#This Row],[Customer_Name]])+1,50),1)</f>
        <v>DK</v>
      </c>
      <c r="I170" s="1" t="s">
        <v>61</v>
      </c>
      <c r="J170" s="1" t="s">
        <v>62</v>
      </c>
      <c r="K170" s="1" t="s">
        <v>19</v>
      </c>
      <c r="L170" s="12">
        <v>5</v>
      </c>
      <c r="M170" s="16">
        <v>899.99</v>
      </c>
      <c r="N170" s="1" t="s">
        <v>57</v>
      </c>
      <c r="O170" s="1" t="s">
        <v>63</v>
      </c>
      <c r="P170" s="1" t="str">
        <f>UPPER(LEFT(Table1[[#This Row],[Region]],2))</f>
        <v>EA</v>
      </c>
      <c r="Q170" s="1" t="s">
        <v>36</v>
      </c>
      <c r="R170" s="3">
        <v>44625</v>
      </c>
      <c r="S170" s="20">
        <v>4499.95</v>
      </c>
      <c r="T170" s="23">
        <f t="shared" ca="1" si="6"/>
        <v>46057</v>
      </c>
      <c r="U170" s="26">
        <f t="shared" ca="1" si="7"/>
        <v>46057.595634259262</v>
      </c>
      <c r="V170" s="25">
        <f ca="1">DATEDIF(Table1[[#This Row],[Date]],TODAY(),"d")</f>
        <v>412</v>
      </c>
      <c r="W170" s="28">
        <f>EOMONTH(Table1[[#This Row],[Date]],0)</f>
        <v>45657</v>
      </c>
      <c r="X170" s="26">
        <f t="shared" ca="1" si="8"/>
        <v>46040.622929282406</v>
      </c>
    </row>
    <row r="171" spans="1:24" ht="15.75" thickBot="1" x14ac:dyDescent="0.3">
      <c r="A171" s="5" t="s">
        <v>314</v>
      </c>
      <c r="B171" s="3">
        <v>45646</v>
      </c>
      <c r="C171" s="12" t="str">
        <f>TEXT(Table1[[#This Row],[Date]],"mmm")</f>
        <v>Dec</v>
      </c>
      <c r="D171" s="12">
        <f>YEAR(Table1[[#This Row],[Date]])</f>
        <v>2024</v>
      </c>
      <c r="E171" s="3" t="str">
        <f>TEXT(Table1[[#This Row],[Date]],"mmm-yyyy")</f>
        <v>Dec-2024</v>
      </c>
      <c r="F171" s="1" t="s">
        <v>42</v>
      </c>
      <c r="G171" s="1" t="s">
        <v>43</v>
      </c>
      <c r="H171" s="1" t="str">
        <f>LEFT(Table1[[#This Row],[Customer_Name]],1)&amp;LEFT(MID(Table1[[#This Row],[Customer_Name]],FIND(" ",Table1[[#This Row],[Customer_Name]])+1,50),1)</f>
        <v>MB</v>
      </c>
      <c r="I171" s="1" t="s">
        <v>44</v>
      </c>
      <c r="J171" s="1" t="s">
        <v>45</v>
      </c>
      <c r="K171" s="1" t="s">
        <v>46</v>
      </c>
      <c r="L171" s="12">
        <v>2</v>
      </c>
      <c r="M171" s="16">
        <v>149.99</v>
      </c>
      <c r="N171" s="1" t="s">
        <v>20</v>
      </c>
      <c r="O171" s="1" t="s">
        <v>35</v>
      </c>
      <c r="P171" s="1" t="str">
        <f>UPPER(LEFT(Table1[[#This Row],[Region]],2))</f>
        <v>SO</v>
      </c>
      <c r="Q171" s="1" t="s">
        <v>22</v>
      </c>
      <c r="R171" s="3">
        <v>45239</v>
      </c>
      <c r="S171" s="20">
        <v>299.98</v>
      </c>
      <c r="T171" s="23">
        <f t="shared" ca="1" si="6"/>
        <v>46057</v>
      </c>
      <c r="U171" s="26">
        <f t="shared" ca="1" si="7"/>
        <v>46057.595634259262</v>
      </c>
      <c r="V171" s="25">
        <f ca="1">DATEDIF(Table1[[#This Row],[Date]],TODAY(),"d")</f>
        <v>411</v>
      </c>
      <c r="W171" s="28">
        <f>EOMONTH(Table1[[#This Row],[Date]],0)</f>
        <v>45657</v>
      </c>
      <c r="X171" s="26">
        <f t="shared" ca="1" si="8"/>
        <v>46040.622929282406</v>
      </c>
    </row>
    <row r="172" spans="1:24" ht="15.75" thickBot="1" x14ac:dyDescent="0.3">
      <c r="A172" s="5" t="s">
        <v>315</v>
      </c>
      <c r="B172" s="3">
        <v>45648</v>
      </c>
      <c r="C172" s="12" t="str">
        <f>TEXT(Table1[[#This Row],[Date]],"mmm")</f>
        <v>Dec</v>
      </c>
      <c r="D172" s="12">
        <f>YEAR(Table1[[#This Row],[Date]])</f>
        <v>2024</v>
      </c>
      <c r="E172" s="3" t="str">
        <f>TEXT(Table1[[#This Row],[Date]],"mmm-yyyy")</f>
        <v>Dec-2024</v>
      </c>
      <c r="F172" s="1" t="s">
        <v>112</v>
      </c>
      <c r="G172" s="1" t="s">
        <v>113</v>
      </c>
      <c r="H172" s="1" t="str">
        <f>LEFT(Table1[[#This Row],[Customer_Name]],1)&amp;LEFT(MID(Table1[[#This Row],[Customer_Name]],FIND(" ",Table1[[#This Row],[Customer_Name]])+1,50),1)</f>
        <v>LM</v>
      </c>
      <c r="I172" s="1" t="s">
        <v>52</v>
      </c>
      <c r="J172" s="1" t="s">
        <v>53</v>
      </c>
      <c r="K172" s="1" t="s">
        <v>19</v>
      </c>
      <c r="L172" s="12">
        <v>2</v>
      </c>
      <c r="M172" s="16">
        <v>149.99</v>
      </c>
      <c r="N172" s="1" t="s">
        <v>57</v>
      </c>
      <c r="O172" s="1" t="s">
        <v>50</v>
      </c>
      <c r="P172" s="1" t="str">
        <f>UPPER(LEFT(Table1[[#This Row],[Region]],2))</f>
        <v>WE</v>
      </c>
      <c r="Q172" s="1" t="s">
        <v>27</v>
      </c>
      <c r="R172" s="3">
        <v>45280</v>
      </c>
      <c r="S172" s="20">
        <v>299.98</v>
      </c>
      <c r="T172" s="23">
        <f t="shared" ca="1" si="6"/>
        <v>46057</v>
      </c>
      <c r="U172" s="26">
        <f t="shared" ca="1" si="7"/>
        <v>46057.595634259262</v>
      </c>
      <c r="V172" s="25">
        <f ca="1">DATEDIF(Table1[[#This Row],[Date]],TODAY(),"d")</f>
        <v>409</v>
      </c>
      <c r="W172" s="28">
        <f>EOMONTH(Table1[[#This Row],[Date]],0)</f>
        <v>45657</v>
      </c>
      <c r="X172" s="26">
        <f t="shared" ca="1" si="8"/>
        <v>46040.622929282406</v>
      </c>
    </row>
    <row r="173" spans="1:24" ht="15.75" thickBot="1" x14ac:dyDescent="0.3">
      <c r="A173" s="5" t="s">
        <v>316</v>
      </c>
      <c r="B173" s="3">
        <v>45648</v>
      </c>
      <c r="C173" s="12" t="str">
        <f>TEXT(Table1[[#This Row],[Date]],"mmm")</f>
        <v>Dec</v>
      </c>
      <c r="D173" s="12">
        <f>YEAR(Table1[[#This Row],[Date]])</f>
        <v>2024</v>
      </c>
      <c r="E173" s="3" t="str">
        <f>TEXT(Table1[[#This Row],[Date]],"mmm-yyyy")</f>
        <v>Dec-2024</v>
      </c>
      <c r="F173" s="1" t="s">
        <v>182</v>
      </c>
      <c r="G173" s="1" t="s">
        <v>183</v>
      </c>
      <c r="H173" s="1" t="str">
        <f>LEFT(Table1[[#This Row],[Customer_Name]],1)&amp;LEFT(MID(Table1[[#This Row],[Customer_Name]],FIND(" ",Table1[[#This Row],[Customer_Name]])+1,50),1)</f>
        <v>DM</v>
      </c>
      <c r="I173" s="1" t="s">
        <v>44</v>
      </c>
      <c r="J173" s="1" t="s">
        <v>45</v>
      </c>
      <c r="K173" s="1" t="s">
        <v>46</v>
      </c>
      <c r="L173" s="12">
        <v>3</v>
      </c>
      <c r="M173" s="16">
        <v>149.99</v>
      </c>
      <c r="N173" s="1" t="s">
        <v>57</v>
      </c>
      <c r="O173" s="1" t="s">
        <v>40</v>
      </c>
      <c r="P173" s="1" t="str">
        <f>UPPER(LEFT(Table1[[#This Row],[Region]],2))</f>
        <v>NO</v>
      </c>
      <c r="Q173" s="1" t="s">
        <v>36</v>
      </c>
      <c r="R173" s="3">
        <v>44522</v>
      </c>
      <c r="S173" s="20">
        <v>449.97</v>
      </c>
      <c r="T173" s="23">
        <f t="shared" ca="1" si="6"/>
        <v>46057</v>
      </c>
      <c r="U173" s="26">
        <f t="shared" ca="1" si="7"/>
        <v>46057.595634259262</v>
      </c>
      <c r="V173" s="25">
        <f ca="1">DATEDIF(Table1[[#This Row],[Date]],TODAY(),"d")</f>
        <v>409</v>
      </c>
      <c r="W173" s="28">
        <f>EOMONTH(Table1[[#This Row],[Date]],0)</f>
        <v>45657</v>
      </c>
      <c r="X173" s="26">
        <f t="shared" ca="1" si="8"/>
        <v>46040.622929282406</v>
      </c>
    </row>
    <row r="174" spans="1:24" ht="15.75" thickBot="1" x14ac:dyDescent="0.3">
      <c r="A174" s="5" t="s">
        <v>317</v>
      </c>
      <c r="B174" s="3">
        <v>45649</v>
      </c>
      <c r="C174" s="12" t="str">
        <f>TEXT(Table1[[#This Row],[Date]],"mmm")</f>
        <v>Dec</v>
      </c>
      <c r="D174" s="12">
        <f>YEAR(Table1[[#This Row],[Date]])</f>
        <v>2024</v>
      </c>
      <c r="E174" s="3" t="str">
        <f>TEXT(Table1[[#This Row],[Date]],"mmm-yyyy")</f>
        <v>Dec-2024</v>
      </c>
      <c r="F174" s="1" t="s">
        <v>29</v>
      </c>
      <c r="G174" s="1" t="s">
        <v>30</v>
      </c>
      <c r="H174" s="1" t="str">
        <f>LEFT(Table1[[#This Row],[Customer_Name]],1)&amp;LEFT(MID(Table1[[#This Row],[Customer_Name]],FIND(" ",Table1[[#This Row],[Customer_Name]])+1,50),1)</f>
        <v>KS</v>
      </c>
      <c r="I174" s="1" t="s">
        <v>105</v>
      </c>
      <c r="J174" s="1" t="s">
        <v>106</v>
      </c>
      <c r="K174" s="1" t="s">
        <v>46</v>
      </c>
      <c r="L174" s="12">
        <v>2</v>
      </c>
      <c r="M174" s="16">
        <v>299.99</v>
      </c>
      <c r="N174" s="1" t="s">
        <v>34</v>
      </c>
      <c r="O174" s="1" t="s">
        <v>35</v>
      </c>
      <c r="P174" s="1" t="str">
        <f>UPPER(LEFT(Table1[[#This Row],[Region]],2))</f>
        <v>SO</v>
      </c>
      <c r="Q174" s="1" t="s">
        <v>22</v>
      </c>
      <c r="R174" s="3">
        <v>44721</v>
      </c>
      <c r="S174" s="20">
        <v>599.98</v>
      </c>
      <c r="T174" s="23">
        <f t="shared" ca="1" si="6"/>
        <v>46057</v>
      </c>
      <c r="U174" s="26">
        <f t="shared" ca="1" si="7"/>
        <v>46057.595634259262</v>
      </c>
      <c r="V174" s="25">
        <f ca="1">DATEDIF(Table1[[#This Row],[Date]],TODAY(),"d")</f>
        <v>408</v>
      </c>
      <c r="W174" s="28">
        <f>EOMONTH(Table1[[#This Row],[Date]],0)</f>
        <v>45657</v>
      </c>
      <c r="X174" s="26">
        <f t="shared" ca="1" si="8"/>
        <v>46040.622929282406</v>
      </c>
    </row>
    <row r="175" spans="1:24" ht="15.75" thickBot="1" x14ac:dyDescent="0.3">
      <c r="A175" s="5" t="s">
        <v>318</v>
      </c>
      <c r="B175" s="3">
        <v>45654</v>
      </c>
      <c r="C175" s="12" t="str">
        <f>TEXT(Table1[[#This Row],[Date]],"mmm")</f>
        <v>Dec</v>
      </c>
      <c r="D175" s="12">
        <f>YEAR(Table1[[#This Row],[Date]])</f>
        <v>2024</v>
      </c>
      <c r="E175" s="3" t="str">
        <f>TEXT(Table1[[#This Row],[Date]],"mmm-yyyy")</f>
        <v>Dec-2024</v>
      </c>
      <c r="F175" s="1" t="s">
        <v>42</v>
      </c>
      <c r="G175" s="1" t="s">
        <v>43</v>
      </c>
      <c r="H175" s="1" t="str">
        <f>LEFT(Table1[[#This Row],[Customer_Name]],1)&amp;LEFT(MID(Table1[[#This Row],[Customer_Name]],FIND(" ",Table1[[#This Row],[Customer_Name]])+1,50),1)</f>
        <v>MB</v>
      </c>
      <c r="I175" s="1" t="s">
        <v>105</v>
      </c>
      <c r="J175" s="1" t="s">
        <v>106</v>
      </c>
      <c r="K175" s="1" t="s">
        <v>46</v>
      </c>
      <c r="L175" s="12">
        <v>2</v>
      </c>
      <c r="M175" s="16">
        <v>299.99</v>
      </c>
      <c r="N175" s="1" t="s">
        <v>20</v>
      </c>
      <c r="O175" s="1" t="s">
        <v>50</v>
      </c>
      <c r="P175" s="1" t="str">
        <f>UPPER(LEFT(Table1[[#This Row],[Region]],2))</f>
        <v>WE</v>
      </c>
      <c r="Q175" s="1" t="s">
        <v>22</v>
      </c>
      <c r="R175" s="3">
        <v>44771</v>
      </c>
      <c r="S175" s="20">
        <v>599.98</v>
      </c>
      <c r="T175" s="23">
        <f t="shared" ca="1" si="6"/>
        <v>46057</v>
      </c>
      <c r="U175" s="26">
        <f t="shared" ca="1" si="7"/>
        <v>46057.595634259262</v>
      </c>
      <c r="V175" s="25">
        <f ca="1">DATEDIF(Table1[[#This Row],[Date]],TODAY(),"d")</f>
        <v>403</v>
      </c>
      <c r="W175" s="28">
        <f>EOMONTH(Table1[[#This Row],[Date]],0)</f>
        <v>45657</v>
      </c>
      <c r="X175" s="26">
        <f t="shared" ca="1" si="8"/>
        <v>46040.622929282406</v>
      </c>
    </row>
    <row r="176" spans="1:24" ht="15.75" thickBot="1" x14ac:dyDescent="0.3">
      <c r="A176" s="5" t="s">
        <v>319</v>
      </c>
      <c r="B176" s="3">
        <v>45654</v>
      </c>
      <c r="C176" s="12" t="str">
        <f>TEXT(Table1[[#This Row],[Date]],"mmm")</f>
        <v>Dec</v>
      </c>
      <c r="D176" s="12">
        <f>YEAR(Table1[[#This Row],[Date]])</f>
        <v>2024</v>
      </c>
      <c r="E176" s="3" t="str">
        <f>TEXT(Table1[[#This Row],[Date]],"mmm-yyyy")</f>
        <v>Dec-2024</v>
      </c>
      <c r="F176" s="1" t="s">
        <v>120</v>
      </c>
      <c r="G176" s="1" t="s">
        <v>121</v>
      </c>
      <c r="H176" s="1" t="str">
        <f>LEFT(Table1[[#This Row],[Customer_Name]],1)&amp;LEFT(MID(Table1[[#This Row],[Customer_Name]],FIND(" ",Table1[[#This Row],[Customer_Name]])+1,50),1)</f>
        <v>HR</v>
      </c>
      <c r="I176" s="1" t="s">
        <v>126</v>
      </c>
      <c r="J176" s="1" t="s">
        <v>127</v>
      </c>
      <c r="K176" s="1" t="s">
        <v>46</v>
      </c>
      <c r="L176" s="12">
        <v>4</v>
      </c>
      <c r="M176" s="16">
        <v>199.99</v>
      </c>
      <c r="N176" s="1" t="s">
        <v>26</v>
      </c>
      <c r="O176" s="1" t="s">
        <v>21</v>
      </c>
      <c r="P176" s="1" t="str">
        <f>UPPER(LEFT(Table1[[#This Row],[Region]],2))</f>
        <v>CE</v>
      </c>
      <c r="Q176" s="1" t="s">
        <v>22</v>
      </c>
      <c r="R176" s="3">
        <v>44523</v>
      </c>
      <c r="S176" s="20">
        <v>799.96</v>
      </c>
      <c r="T176" s="23">
        <f t="shared" ca="1" si="6"/>
        <v>46057</v>
      </c>
      <c r="U176" s="26">
        <f t="shared" ca="1" si="7"/>
        <v>46057.595634259262</v>
      </c>
      <c r="V176" s="25">
        <f ca="1">DATEDIF(Table1[[#This Row],[Date]],TODAY(),"d")</f>
        <v>403</v>
      </c>
      <c r="W176" s="28">
        <f>EOMONTH(Table1[[#This Row],[Date]],0)</f>
        <v>45657</v>
      </c>
      <c r="X176" s="26">
        <f t="shared" ca="1" si="8"/>
        <v>46040.622929282406</v>
      </c>
    </row>
    <row r="177" spans="1:24" ht="15.75" thickBot="1" x14ac:dyDescent="0.3">
      <c r="A177" s="5" t="s">
        <v>320</v>
      </c>
      <c r="B177" s="3">
        <v>45655</v>
      </c>
      <c r="C177" s="12" t="str">
        <f>TEXT(Table1[[#This Row],[Date]],"mmm")</f>
        <v>Dec</v>
      </c>
      <c r="D177" s="12">
        <f>YEAR(Table1[[#This Row],[Date]])</f>
        <v>2024</v>
      </c>
      <c r="E177" s="3" t="str">
        <f>TEXT(Table1[[#This Row],[Date]],"mmm-yyyy")</f>
        <v>Dec-2024</v>
      </c>
      <c r="F177" s="1" t="s">
        <v>59</v>
      </c>
      <c r="G177" s="1" t="s">
        <v>60</v>
      </c>
      <c r="H177" s="1" t="str">
        <f>LEFT(Table1[[#This Row],[Customer_Name]],1)&amp;LEFT(MID(Table1[[#This Row],[Customer_Name]],FIND(" ",Table1[[#This Row],[Customer_Name]])+1,50),1)</f>
        <v>RT</v>
      </c>
      <c r="I177" s="1" t="s">
        <v>117</v>
      </c>
      <c r="J177" s="1" t="s">
        <v>118</v>
      </c>
      <c r="K177" s="1" t="s">
        <v>19</v>
      </c>
      <c r="L177" s="12">
        <v>1</v>
      </c>
      <c r="M177" s="16">
        <v>89.99</v>
      </c>
      <c r="N177" s="1" t="s">
        <v>26</v>
      </c>
      <c r="O177" s="1" t="s">
        <v>35</v>
      </c>
      <c r="P177" s="1" t="str">
        <f>UPPER(LEFT(Table1[[#This Row],[Region]],2))</f>
        <v>SO</v>
      </c>
      <c r="Q177" s="1" t="s">
        <v>27</v>
      </c>
      <c r="R177" s="3">
        <v>44591</v>
      </c>
      <c r="S177" s="20">
        <v>89.99</v>
      </c>
      <c r="T177" s="23">
        <f t="shared" ca="1" si="6"/>
        <v>46057</v>
      </c>
      <c r="U177" s="26">
        <f t="shared" ca="1" si="7"/>
        <v>46057.595634259262</v>
      </c>
      <c r="V177" s="25">
        <f ca="1">DATEDIF(Table1[[#This Row],[Date]],TODAY(),"d")</f>
        <v>402</v>
      </c>
      <c r="W177" s="28">
        <f>EOMONTH(Table1[[#This Row],[Date]],0)</f>
        <v>45657</v>
      </c>
      <c r="X177" s="26">
        <f t="shared" ca="1" si="8"/>
        <v>46040.622929282406</v>
      </c>
    </row>
    <row r="178" spans="1:24" ht="15.75" thickBot="1" x14ac:dyDescent="0.3">
      <c r="A178" s="5" t="s">
        <v>321</v>
      </c>
      <c r="B178" s="3">
        <v>45655</v>
      </c>
      <c r="C178" s="12" t="str">
        <f>TEXT(Table1[[#This Row],[Date]],"mmm")</f>
        <v>Dec</v>
      </c>
      <c r="D178" s="12">
        <f>YEAR(Table1[[#This Row],[Date]])</f>
        <v>2024</v>
      </c>
      <c r="E178" s="3" t="str">
        <f>TEXT(Table1[[#This Row],[Date]],"mmm-yyyy")</f>
        <v>Dec-2024</v>
      </c>
      <c r="F178" s="1" t="s">
        <v>108</v>
      </c>
      <c r="G178" s="1" t="s">
        <v>109</v>
      </c>
      <c r="H178" s="1" t="str">
        <f>LEFT(Table1[[#This Row],[Customer_Name]],1)&amp;LEFT(MID(Table1[[#This Row],[Customer_Name]],FIND(" ",Table1[[#This Row],[Customer_Name]])+1,50),1)</f>
        <v>NC</v>
      </c>
      <c r="I178" s="1" t="s">
        <v>44</v>
      </c>
      <c r="J178" s="1" t="s">
        <v>45</v>
      </c>
      <c r="K178" s="1" t="s">
        <v>46</v>
      </c>
      <c r="L178" s="12">
        <v>5</v>
      </c>
      <c r="M178" s="16">
        <v>149.99</v>
      </c>
      <c r="N178" s="1" t="s">
        <v>20</v>
      </c>
      <c r="O178" s="1" t="s">
        <v>21</v>
      </c>
      <c r="P178" s="1" t="str">
        <f>UPPER(LEFT(Table1[[#This Row],[Region]],2))</f>
        <v>CE</v>
      </c>
      <c r="Q178" s="1" t="s">
        <v>27</v>
      </c>
      <c r="R178" s="3">
        <v>45347</v>
      </c>
      <c r="S178" s="20">
        <v>749.95</v>
      </c>
      <c r="T178" s="23">
        <f t="shared" ca="1" si="6"/>
        <v>46057</v>
      </c>
      <c r="U178" s="26">
        <f t="shared" ca="1" si="7"/>
        <v>46057.595634259262</v>
      </c>
      <c r="V178" s="25">
        <f ca="1">DATEDIF(Table1[[#This Row],[Date]],TODAY(),"d")</f>
        <v>402</v>
      </c>
      <c r="W178" s="28">
        <f>EOMONTH(Table1[[#This Row],[Date]],0)</f>
        <v>45657</v>
      </c>
      <c r="X178" s="26">
        <f t="shared" ca="1" si="8"/>
        <v>46040.622929282406</v>
      </c>
    </row>
    <row r="179" spans="1:24" ht="15.75" thickBot="1" x14ac:dyDescent="0.3">
      <c r="A179" s="5" t="s">
        <v>322</v>
      </c>
      <c r="B179" s="3">
        <v>45657</v>
      </c>
      <c r="C179" s="12" t="str">
        <f>TEXT(Table1[[#This Row],[Date]],"mmm")</f>
        <v>Dec</v>
      </c>
      <c r="D179" s="12">
        <f>YEAR(Table1[[#This Row],[Date]])</f>
        <v>2024</v>
      </c>
      <c r="E179" s="3" t="str">
        <f>TEXT(Table1[[#This Row],[Date]],"mmm-yyyy")</f>
        <v>Dec-2024</v>
      </c>
      <c r="F179" s="1" t="s">
        <v>86</v>
      </c>
      <c r="G179" s="1" t="s">
        <v>87</v>
      </c>
      <c r="H179" s="1" t="str">
        <f>LEFT(Table1[[#This Row],[Customer_Name]],1)&amp;LEFT(MID(Table1[[#This Row],[Customer_Name]],FIND(" ",Table1[[#This Row],[Customer_Name]])+1,50),1)</f>
        <v>MC</v>
      </c>
      <c r="I179" s="1" t="s">
        <v>61</v>
      </c>
      <c r="J179" s="1" t="s">
        <v>62</v>
      </c>
      <c r="K179" s="1" t="s">
        <v>19</v>
      </c>
      <c r="L179" s="12">
        <v>1</v>
      </c>
      <c r="M179" s="16">
        <v>899.99</v>
      </c>
      <c r="N179" s="1" t="s">
        <v>34</v>
      </c>
      <c r="O179" s="1" t="s">
        <v>40</v>
      </c>
      <c r="P179" s="1" t="str">
        <f>UPPER(LEFT(Table1[[#This Row],[Region]],2))</f>
        <v>NO</v>
      </c>
      <c r="Q179" s="1" t="s">
        <v>27</v>
      </c>
      <c r="R179" s="3">
        <v>45050</v>
      </c>
      <c r="S179" s="20">
        <v>899.99</v>
      </c>
      <c r="T179" s="23">
        <f t="shared" ca="1" si="6"/>
        <v>46057</v>
      </c>
      <c r="U179" s="26">
        <f t="shared" ca="1" si="7"/>
        <v>46057.595634259262</v>
      </c>
      <c r="V179" s="25">
        <f ca="1">DATEDIF(Table1[[#This Row],[Date]],TODAY(),"d")</f>
        <v>400</v>
      </c>
      <c r="W179" s="28">
        <f>EOMONTH(Table1[[#This Row],[Date]],0)</f>
        <v>45657</v>
      </c>
      <c r="X179" s="26">
        <f t="shared" ca="1" si="8"/>
        <v>46040.622929282406</v>
      </c>
    </row>
    <row r="180" spans="1:24" ht="15.75" thickBot="1" x14ac:dyDescent="0.3">
      <c r="A180" s="5" t="s">
        <v>323</v>
      </c>
      <c r="B180" s="3">
        <v>45660</v>
      </c>
      <c r="C180" s="12" t="str">
        <f>TEXT(Table1[[#This Row],[Date]],"mmm")</f>
        <v>Jan</v>
      </c>
      <c r="D180" s="12">
        <f>YEAR(Table1[[#This Row],[Date]])</f>
        <v>2025</v>
      </c>
      <c r="E180" s="3" t="str">
        <f>TEXT(Table1[[#This Row],[Date]],"mmm-yyyy")</f>
        <v>Jan-2025</v>
      </c>
      <c r="F180" s="1" t="s">
        <v>147</v>
      </c>
      <c r="G180" s="1" t="s">
        <v>148</v>
      </c>
      <c r="H180" s="1" t="str">
        <f>LEFT(Table1[[#This Row],[Customer_Name]],1)&amp;LEFT(MID(Table1[[#This Row],[Customer_Name]],FIND(" ",Table1[[#This Row],[Customer_Name]])+1,50),1)</f>
        <v>DK</v>
      </c>
      <c r="I180" s="1" t="s">
        <v>117</v>
      </c>
      <c r="J180" s="1" t="s">
        <v>118</v>
      </c>
      <c r="K180" s="1" t="s">
        <v>19</v>
      </c>
      <c r="L180" s="12">
        <v>2</v>
      </c>
      <c r="M180" s="16">
        <v>89.99</v>
      </c>
      <c r="N180" s="1" t="s">
        <v>26</v>
      </c>
      <c r="O180" s="1" t="s">
        <v>35</v>
      </c>
      <c r="P180" s="1" t="str">
        <f>UPPER(LEFT(Table1[[#This Row],[Region]],2))</f>
        <v>SO</v>
      </c>
      <c r="Q180" s="1" t="s">
        <v>27</v>
      </c>
      <c r="R180" s="3">
        <v>44564</v>
      </c>
      <c r="S180" s="20">
        <v>179.98</v>
      </c>
      <c r="T180" s="23">
        <f t="shared" ca="1" si="6"/>
        <v>46057</v>
      </c>
      <c r="U180" s="26">
        <f t="shared" ca="1" si="7"/>
        <v>46057.595634259262</v>
      </c>
      <c r="V180" s="25">
        <f ca="1">DATEDIF(Table1[[#This Row],[Date]],TODAY(),"d")</f>
        <v>397</v>
      </c>
      <c r="W180" s="28">
        <f>EOMONTH(Table1[[#This Row],[Date]],0)</f>
        <v>45688</v>
      </c>
      <c r="X180" s="26">
        <f t="shared" ca="1" si="8"/>
        <v>46040.622929282406</v>
      </c>
    </row>
    <row r="181" spans="1:24" ht="15.75" thickBot="1" x14ac:dyDescent="0.3">
      <c r="A181" s="5" t="s">
        <v>324</v>
      </c>
      <c r="B181" s="3">
        <v>45661</v>
      </c>
      <c r="C181" s="12" t="str">
        <f>TEXT(Table1[[#This Row],[Date]],"mmm")</f>
        <v>Jan</v>
      </c>
      <c r="D181" s="12">
        <f>YEAR(Table1[[#This Row],[Date]])</f>
        <v>2025</v>
      </c>
      <c r="E181" s="3" t="str">
        <f>TEXT(Table1[[#This Row],[Date]],"mmm-yyyy")</f>
        <v>Jan-2025</v>
      </c>
      <c r="F181" s="1" t="s">
        <v>325</v>
      </c>
      <c r="G181" s="1" t="s">
        <v>326</v>
      </c>
      <c r="H181" s="1" t="str">
        <f>LEFT(Table1[[#This Row],[Customer_Name]],1)&amp;LEFT(MID(Table1[[#This Row],[Customer_Name]],FIND(" ",Table1[[#This Row],[Customer_Name]])+1,50),1)</f>
        <v>AE</v>
      </c>
      <c r="I181" s="1" t="s">
        <v>61</v>
      </c>
      <c r="J181" s="1" t="s">
        <v>62</v>
      </c>
      <c r="K181" s="1" t="s">
        <v>19</v>
      </c>
      <c r="L181" s="12">
        <v>1</v>
      </c>
      <c r="M181" s="16">
        <v>899.99</v>
      </c>
      <c r="N181" s="1" t="s">
        <v>34</v>
      </c>
      <c r="O181" s="1" t="s">
        <v>40</v>
      </c>
      <c r="P181" s="1" t="str">
        <f>UPPER(LEFT(Table1[[#This Row],[Region]],2))</f>
        <v>NO</v>
      </c>
      <c r="Q181" s="1" t="s">
        <v>36</v>
      </c>
      <c r="R181" s="3">
        <v>44752</v>
      </c>
      <c r="S181" s="20">
        <v>899.99</v>
      </c>
      <c r="T181" s="23">
        <f t="shared" ca="1" si="6"/>
        <v>46057</v>
      </c>
      <c r="U181" s="26">
        <f t="shared" ca="1" si="7"/>
        <v>46057.595634259262</v>
      </c>
      <c r="V181" s="25">
        <f ca="1">DATEDIF(Table1[[#This Row],[Date]],TODAY(),"d")</f>
        <v>396</v>
      </c>
      <c r="W181" s="28">
        <f>EOMONTH(Table1[[#This Row],[Date]],0)</f>
        <v>45688</v>
      </c>
      <c r="X181" s="26">
        <f t="shared" ca="1" si="8"/>
        <v>46040.622929282406</v>
      </c>
    </row>
    <row r="182" spans="1:24" ht="15.75" thickBot="1" x14ac:dyDescent="0.3">
      <c r="A182" s="5" t="s">
        <v>327</v>
      </c>
      <c r="B182" s="3">
        <v>45663</v>
      </c>
      <c r="C182" s="12" t="str">
        <f>TEXT(Table1[[#This Row],[Date]],"mmm")</f>
        <v>Jan</v>
      </c>
      <c r="D182" s="12">
        <f>YEAR(Table1[[#This Row],[Date]])</f>
        <v>2025</v>
      </c>
      <c r="E182" s="3" t="str">
        <f>TEXT(Table1[[#This Row],[Date]],"mmm-yyyy")</f>
        <v>Jan-2025</v>
      </c>
      <c r="F182" s="1" t="s">
        <v>129</v>
      </c>
      <c r="G182" s="1" t="s">
        <v>130</v>
      </c>
      <c r="H182" s="1" t="str">
        <f>LEFT(Table1[[#This Row],[Customer_Name]],1)&amp;LEFT(MID(Table1[[#This Row],[Customer_Name]],FIND(" ",Table1[[#This Row],[Customer_Name]])+1,50),1)</f>
        <v>LA</v>
      </c>
      <c r="I182" s="1" t="s">
        <v>52</v>
      </c>
      <c r="J182" s="1" t="s">
        <v>53</v>
      </c>
      <c r="K182" s="1" t="s">
        <v>19</v>
      </c>
      <c r="L182" s="12">
        <v>5</v>
      </c>
      <c r="M182" s="16">
        <v>149.99</v>
      </c>
      <c r="N182" s="1" t="s">
        <v>34</v>
      </c>
      <c r="O182" s="1" t="s">
        <v>63</v>
      </c>
      <c r="P182" s="1" t="str">
        <f>UPPER(LEFT(Table1[[#This Row],[Region]],2))</f>
        <v>EA</v>
      </c>
      <c r="Q182" s="1" t="s">
        <v>27</v>
      </c>
      <c r="R182" s="3">
        <v>44824</v>
      </c>
      <c r="S182" s="20">
        <v>749.95</v>
      </c>
      <c r="T182" s="23">
        <f t="shared" ca="1" si="6"/>
        <v>46057</v>
      </c>
      <c r="U182" s="26">
        <f t="shared" ca="1" si="7"/>
        <v>46057.595634259262</v>
      </c>
      <c r="V182" s="25">
        <f ca="1">DATEDIF(Table1[[#This Row],[Date]],TODAY(),"d")</f>
        <v>394</v>
      </c>
      <c r="W182" s="28">
        <f>EOMONTH(Table1[[#This Row],[Date]],0)</f>
        <v>45688</v>
      </c>
      <c r="X182" s="26">
        <f t="shared" ca="1" si="8"/>
        <v>46040.622929282406</v>
      </c>
    </row>
    <row r="183" spans="1:24" ht="15.75" thickBot="1" x14ac:dyDescent="0.3">
      <c r="A183" s="5" t="s">
        <v>328</v>
      </c>
      <c r="B183" s="3">
        <v>45663</v>
      </c>
      <c r="C183" s="12" t="str">
        <f>TEXT(Table1[[#This Row],[Date]],"mmm")</f>
        <v>Jan</v>
      </c>
      <c r="D183" s="12">
        <f>YEAR(Table1[[#This Row],[Date]])</f>
        <v>2025</v>
      </c>
      <c r="E183" s="3" t="str">
        <f>TEXT(Table1[[#This Row],[Date]],"mmm-yyyy")</f>
        <v>Jan-2025</v>
      </c>
      <c r="F183" s="1" t="s">
        <v>42</v>
      </c>
      <c r="G183" s="1" t="s">
        <v>43</v>
      </c>
      <c r="H183" s="1" t="str">
        <f>LEFT(Table1[[#This Row],[Customer_Name]],1)&amp;LEFT(MID(Table1[[#This Row],[Customer_Name]],FIND(" ",Table1[[#This Row],[Customer_Name]])+1,50),1)</f>
        <v>MB</v>
      </c>
      <c r="I183" s="1" t="s">
        <v>105</v>
      </c>
      <c r="J183" s="1" t="s">
        <v>106</v>
      </c>
      <c r="K183" s="1" t="s">
        <v>46</v>
      </c>
      <c r="L183" s="12">
        <v>3</v>
      </c>
      <c r="M183" s="16">
        <v>299.99</v>
      </c>
      <c r="N183" s="1" t="s">
        <v>20</v>
      </c>
      <c r="O183" s="1" t="s">
        <v>35</v>
      </c>
      <c r="P183" s="1" t="str">
        <f>UPPER(LEFT(Table1[[#This Row],[Region]],2))</f>
        <v>SO</v>
      </c>
      <c r="Q183" s="1" t="s">
        <v>36</v>
      </c>
      <c r="R183" s="3">
        <v>44422</v>
      </c>
      <c r="S183" s="20">
        <v>899.97</v>
      </c>
      <c r="T183" s="23">
        <f t="shared" ca="1" si="6"/>
        <v>46057</v>
      </c>
      <c r="U183" s="26">
        <f t="shared" ca="1" si="7"/>
        <v>46057.595634259262</v>
      </c>
      <c r="V183" s="25">
        <f ca="1">DATEDIF(Table1[[#This Row],[Date]],TODAY(),"d")</f>
        <v>394</v>
      </c>
      <c r="W183" s="28">
        <f>EOMONTH(Table1[[#This Row],[Date]],0)</f>
        <v>45688</v>
      </c>
      <c r="X183" s="26">
        <f t="shared" ca="1" si="8"/>
        <v>46040.622929282406</v>
      </c>
    </row>
    <row r="184" spans="1:24" ht="15.75" thickBot="1" x14ac:dyDescent="0.3">
      <c r="A184" s="5" t="s">
        <v>329</v>
      </c>
      <c r="B184" s="3">
        <v>45666</v>
      </c>
      <c r="C184" s="12" t="str">
        <f>TEXT(Table1[[#This Row],[Date]],"mmm")</f>
        <v>Jan</v>
      </c>
      <c r="D184" s="12">
        <f>YEAR(Table1[[#This Row],[Date]])</f>
        <v>2025</v>
      </c>
      <c r="E184" s="3" t="str">
        <f>TEXT(Table1[[#This Row],[Date]],"mmm-yyyy")</f>
        <v>Jan-2025</v>
      </c>
      <c r="F184" s="1" t="s">
        <v>65</v>
      </c>
      <c r="G184" s="1" t="s">
        <v>66</v>
      </c>
      <c r="H184" s="1" t="str">
        <f>LEFT(Table1[[#This Row],[Customer_Name]],1)&amp;LEFT(MID(Table1[[#This Row],[Customer_Name]],FIND(" ",Table1[[#This Row],[Customer_Name]])+1,50),1)</f>
        <v>KH</v>
      </c>
      <c r="I184" s="1" t="s">
        <v>80</v>
      </c>
      <c r="J184" s="1" t="s">
        <v>81</v>
      </c>
      <c r="K184" s="1" t="s">
        <v>19</v>
      </c>
      <c r="L184" s="12">
        <v>3</v>
      </c>
      <c r="M184" s="16">
        <v>699.99</v>
      </c>
      <c r="N184" s="1" t="s">
        <v>26</v>
      </c>
      <c r="O184" s="1" t="s">
        <v>21</v>
      </c>
      <c r="P184" s="1" t="str">
        <f>UPPER(LEFT(Table1[[#This Row],[Region]],2))</f>
        <v>CE</v>
      </c>
      <c r="Q184" s="1" t="s">
        <v>27</v>
      </c>
      <c r="R184" s="3">
        <v>45105</v>
      </c>
      <c r="S184" s="20">
        <v>2099.9699999999998</v>
      </c>
      <c r="T184" s="23">
        <f t="shared" ca="1" si="6"/>
        <v>46057</v>
      </c>
      <c r="U184" s="26">
        <f t="shared" ca="1" si="7"/>
        <v>46057.595634259262</v>
      </c>
      <c r="V184" s="25">
        <f ca="1">DATEDIF(Table1[[#This Row],[Date]],TODAY(),"d")</f>
        <v>391</v>
      </c>
      <c r="W184" s="28">
        <f>EOMONTH(Table1[[#This Row],[Date]],0)</f>
        <v>45688</v>
      </c>
      <c r="X184" s="26">
        <f t="shared" ca="1" si="8"/>
        <v>46040.622929282406</v>
      </c>
    </row>
    <row r="185" spans="1:24" ht="15.75" thickBot="1" x14ac:dyDescent="0.3">
      <c r="A185" s="5" t="s">
        <v>330</v>
      </c>
      <c r="B185" s="3">
        <v>45667</v>
      </c>
      <c r="C185" s="12" t="str">
        <f>TEXT(Table1[[#This Row],[Date]],"mmm")</f>
        <v>Jan</v>
      </c>
      <c r="D185" s="12">
        <f>YEAR(Table1[[#This Row],[Date]])</f>
        <v>2025</v>
      </c>
      <c r="E185" s="3" t="str">
        <f>TEXT(Table1[[#This Row],[Date]],"mmm-yyyy")</f>
        <v>Jan-2025</v>
      </c>
      <c r="F185" s="1" t="s">
        <v>108</v>
      </c>
      <c r="G185" s="1" t="s">
        <v>109</v>
      </c>
      <c r="H185" s="1" t="str">
        <f>LEFT(Table1[[#This Row],[Customer_Name]],1)&amp;LEFT(MID(Table1[[#This Row],[Customer_Name]],FIND(" ",Table1[[#This Row],[Customer_Name]])+1,50),1)</f>
        <v>NC</v>
      </c>
      <c r="I185" s="1" t="s">
        <v>126</v>
      </c>
      <c r="J185" s="1" t="s">
        <v>127</v>
      </c>
      <c r="K185" s="1" t="s">
        <v>46</v>
      </c>
      <c r="L185" s="12">
        <v>5</v>
      </c>
      <c r="M185" s="16">
        <v>199.99</v>
      </c>
      <c r="N185" s="1" t="s">
        <v>34</v>
      </c>
      <c r="O185" s="1" t="s">
        <v>21</v>
      </c>
      <c r="P185" s="1" t="str">
        <f>UPPER(LEFT(Table1[[#This Row],[Region]],2))</f>
        <v>CE</v>
      </c>
      <c r="Q185" s="1" t="s">
        <v>36</v>
      </c>
      <c r="R185" s="3">
        <v>44633</v>
      </c>
      <c r="S185" s="20">
        <v>999.95</v>
      </c>
      <c r="T185" s="23">
        <f t="shared" ca="1" si="6"/>
        <v>46057</v>
      </c>
      <c r="U185" s="26">
        <f t="shared" ca="1" si="7"/>
        <v>46057.595634259262</v>
      </c>
      <c r="V185" s="25">
        <f ca="1">DATEDIF(Table1[[#This Row],[Date]],TODAY(),"d")</f>
        <v>390</v>
      </c>
      <c r="W185" s="28">
        <f>EOMONTH(Table1[[#This Row],[Date]],0)</f>
        <v>45688</v>
      </c>
      <c r="X185" s="26">
        <f t="shared" ca="1" si="8"/>
        <v>46040.622929282406</v>
      </c>
    </row>
    <row r="186" spans="1:24" ht="15.75" thickBot="1" x14ac:dyDescent="0.3">
      <c r="A186" s="5" t="s">
        <v>331</v>
      </c>
      <c r="B186" s="3">
        <v>45667</v>
      </c>
      <c r="C186" s="12" t="str">
        <f>TEXT(Table1[[#This Row],[Date]],"mmm")</f>
        <v>Jan</v>
      </c>
      <c r="D186" s="12">
        <f>YEAR(Table1[[#This Row],[Date]])</f>
        <v>2025</v>
      </c>
      <c r="E186" s="3" t="str">
        <f>TEXT(Table1[[#This Row],[Date]],"mmm-yyyy")</f>
        <v>Jan-2025</v>
      </c>
      <c r="F186" s="1" t="s">
        <v>93</v>
      </c>
      <c r="G186" s="1" t="s">
        <v>94</v>
      </c>
      <c r="H186" s="1" t="str">
        <f>LEFT(Table1[[#This Row],[Customer_Name]],1)&amp;LEFT(MID(Table1[[#This Row],[Customer_Name]],FIND(" ",Table1[[#This Row],[Customer_Name]])+1,50),1)</f>
        <v>VS</v>
      </c>
      <c r="I186" s="1" t="s">
        <v>17</v>
      </c>
      <c r="J186" s="1" t="s">
        <v>18</v>
      </c>
      <c r="K186" s="1" t="s">
        <v>19</v>
      </c>
      <c r="L186" s="12">
        <v>5</v>
      </c>
      <c r="M186" s="16">
        <v>249.99</v>
      </c>
      <c r="N186" s="1" t="s">
        <v>26</v>
      </c>
      <c r="O186" s="1" t="s">
        <v>35</v>
      </c>
      <c r="P186" s="1" t="str">
        <f>UPPER(LEFT(Table1[[#This Row],[Region]],2))</f>
        <v>SO</v>
      </c>
      <c r="Q186" s="1" t="s">
        <v>22</v>
      </c>
      <c r="R186" s="3">
        <v>45330</v>
      </c>
      <c r="S186" s="20">
        <v>1249.95</v>
      </c>
      <c r="T186" s="23">
        <f t="shared" ca="1" si="6"/>
        <v>46057</v>
      </c>
      <c r="U186" s="26">
        <f t="shared" ca="1" si="7"/>
        <v>46057.595634259262</v>
      </c>
      <c r="V186" s="25">
        <f ca="1">DATEDIF(Table1[[#This Row],[Date]],TODAY(),"d")</f>
        <v>390</v>
      </c>
      <c r="W186" s="28">
        <f>EOMONTH(Table1[[#This Row],[Date]],0)</f>
        <v>45688</v>
      </c>
      <c r="X186" s="26">
        <f t="shared" ca="1" si="8"/>
        <v>46040.622929282406</v>
      </c>
    </row>
    <row r="187" spans="1:24" ht="15.75" thickBot="1" x14ac:dyDescent="0.3">
      <c r="A187" s="5" t="s">
        <v>332</v>
      </c>
      <c r="B187" s="3">
        <v>45668</v>
      </c>
      <c r="C187" s="12" t="str">
        <f>TEXT(Table1[[#This Row],[Date]],"mmm")</f>
        <v>Jan</v>
      </c>
      <c r="D187" s="12">
        <f>YEAR(Table1[[#This Row],[Date]])</f>
        <v>2025</v>
      </c>
      <c r="E187" s="3" t="str">
        <f>TEXT(Table1[[#This Row],[Date]],"mmm-yyyy")</f>
        <v>Jan-2025</v>
      </c>
      <c r="F187" s="1" t="s">
        <v>138</v>
      </c>
      <c r="G187" s="1" t="s">
        <v>139</v>
      </c>
      <c r="H187" s="1" t="str">
        <f>LEFT(Table1[[#This Row],[Customer_Name]],1)&amp;LEFT(MID(Table1[[#This Row],[Customer_Name]],FIND(" ",Table1[[#This Row],[Customer_Name]])+1,50),1)</f>
        <v>ST</v>
      </c>
      <c r="I187" s="1" t="s">
        <v>52</v>
      </c>
      <c r="J187" s="1" t="s">
        <v>53</v>
      </c>
      <c r="K187" s="1" t="s">
        <v>19</v>
      </c>
      <c r="L187" s="12">
        <v>4</v>
      </c>
      <c r="M187" s="16">
        <v>149.99</v>
      </c>
      <c r="N187" s="1" t="s">
        <v>57</v>
      </c>
      <c r="O187" s="1" t="s">
        <v>63</v>
      </c>
      <c r="P187" s="1" t="str">
        <f>UPPER(LEFT(Table1[[#This Row],[Region]],2))</f>
        <v>EA</v>
      </c>
      <c r="Q187" s="1" t="s">
        <v>36</v>
      </c>
      <c r="R187" s="3">
        <v>44536</v>
      </c>
      <c r="S187" s="20">
        <v>599.96</v>
      </c>
      <c r="T187" s="23">
        <f t="shared" ca="1" si="6"/>
        <v>46057</v>
      </c>
      <c r="U187" s="26">
        <f t="shared" ca="1" si="7"/>
        <v>46057.595634259262</v>
      </c>
      <c r="V187" s="25">
        <f ca="1">DATEDIF(Table1[[#This Row],[Date]],TODAY(),"d")</f>
        <v>389</v>
      </c>
      <c r="W187" s="28">
        <f>EOMONTH(Table1[[#This Row],[Date]],0)</f>
        <v>45688</v>
      </c>
      <c r="X187" s="26">
        <f t="shared" ca="1" si="8"/>
        <v>46040.622929282406</v>
      </c>
    </row>
    <row r="188" spans="1:24" ht="15.75" thickBot="1" x14ac:dyDescent="0.3">
      <c r="A188" s="5" t="s">
        <v>333</v>
      </c>
      <c r="B188" s="3">
        <v>45668</v>
      </c>
      <c r="C188" s="12" t="str">
        <f>TEXT(Table1[[#This Row],[Date]],"mmm")</f>
        <v>Jan</v>
      </c>
      <c r="D188" s="12">
        <f>YEAR(Table1[[#This Row],[Date]])</f>
        <v>2025</v>
      </c>
      <c r="E188" s="3" t="str">
        <f>TEXT(Table1[[#This Row],[Date]],"mmm-yyyy")</f>
        <v>Jan-2025</v>
      </c>
      <c r="F188" s="1" t="s">
        <v>78</v>
      </c>
      <c r="G188" s="1" t="s">
        <v>79</v>
      </c>
      <c r="H188" s="1" t="str">
        <f>LEFT(Table1[[#This Row],[Customer_Name]],1)&amp;LEFT(MID(Table1[[#This Row],[Customer_Name]],FIND(" ",Table1[[#This Row],[Customer_Name]])+1,50),1)</f>
        <v>MR</v>
      </c>
      <c r="I188" s="1" t="s">
        <v>80</v>
      </c>
      <c r="J188" s="1" t="s">
        <v>81</v>
      </c>
      <c r="K188" s="1" t="s">
        <v>19</v>
      </c>
      <c r="L188" s="12">
        <v>3</v>
      </c>
      <c r="M188" s="16">
        <v>699.99</v>
      </c>
      <c r="N188" s="1" t="s">
        <v>20</v>
      </c>
      <c r="O188" s="1" t="s">
        <v>40</v>
      </c>
      <c r="P188" s="1" t="str">
        <f>UPPER(LEFT(Table1[[#This Row],[Region]],2))</f>
        <v>NO</v>
      </c>
      <c r="Q188" s="1" t="s">
        <v>27</v>
      </c>
      <c r="R188" s="3">
        <v>44602</v>
      </c>
      <c r="S188" s="20">
        <v>2099.9699999999998</v>
      </c>
      <c r="T188" s="23">
        <f t="shared" ca="1" si="6"/>
        <v>46057</v>
      </c>
      <c r="U188" s="26">
        <f t="shared" ca="1" si="7"/>
        <v>46057.595634259262</v>
      </c>
      <c r="V188" s="25">
        <f ca="1">DATEDIF(Table1[[#This Row],[Date]],TODAY(),"d")</f>
        <v>389</v>
      </c>
      <c r="W188" s="28">
        <f>EOMONTH(Table1[[#This Row],[Date]],0)</f>
        <v>45688</v>
      </c>
      <c r="X188" s="26">
        <f t="shared" ca="1" si="8"/>
        <v>46040.622929282406</v>
      </c>
    </row>
    <row r="189" spans="1:24" ht="15.75" thickBot="1" x14ac:dyDescent="0.3">
      <c r="A189" s="5" t="s">
        <v>334</v>
      </c>
      <c r="B189" s="3">
        <v>45670</v>
      </c>
      <c r="C189" s="12" t="str">
        <f>TEXT(Table1[[#This Row],[Date]],"mmm")</f>
        <v>Jan</v>
      </c>
      <c r="D189" s="12">
        <f>YEAR(Table1[[#This Row],[Date]])</f>
        <v>2025</v>
      </c>
      <c r="E189" s="3" t="str">
        <f>TEXT(Table1[[#This Row],[Date]],"mmm-yyyy")</f>
        <v>Jan-2025</v>
      </c>
      <c r="F189" s="1" t="s">
        <v>293</v>
      </c>
      <c r="G189" s="1" t="s">
        <v>294</v>
      </c>
      <c r="H189" s="1" t="str">
        <f>LEFT(Table1[[#This Row],[Customer_Name]],1)&amp;LEFT(MID(Table1[[#This Row],[Customer_Name]],FIND(" ",Table1[[#This Row],[Customer_Name]])+1,50),1)</f>
        <v>DW</v>
      </c>
      <c r="I189" s="1" t="s">
        <v>114</v>
      </c>
      <c r="J189" s="1" t="s">
        <v>115</v>
      </c>
      <c r="K189" s="1" t="s">
        <v>33</v>
      </c>
      <c r="L189" s="12">
        <v>1</v>
      </c>
      <c r="M189" s="16">
        <v>79.989999999999995</v>
      </c>
      <c r="N189" s="1" t="s">
        <v>26</v>
      </c>
      <c r="O189" s="1" t="s">
        <v>35</v>
      </c>
      <c r="P189" s="1" t="str">
        <f>UPPER(LEFT(Table1[[#This Row],[Region]],2))</f>
        <v>SO</v>
      </c>
      <c r="Q189" s="1" t="s">
        <v>22</v>
      </c>
      <c r="R189" s="3">
        <v>45322</v>
      </c>
      <c r="S189" s="20">
        <v>79.989999999999995</v>
      </c>
      <c r="T189" s="23">
        <f t="shared" ca="1" si="6"/>
        <v>46057</v>
      </c>
      <c r="U189" s="26">
        <f t="shared" ca="1" si="7"/>
        <v>46057.595634259262</v>
      </c>
      <c r="V189" s="25">
        <f ca="1">DATEDIF(Table1[[#This Row],[Date]],TODAY(),"d")</f>
        <v>387</v>
      </c>
      <c r="W189" s="28">
        <f>EOMONTH(Table1[[#This Row],[Date]],0)</f>
        <v>45688</v>
      </c>
      <c r="X189" s="26">
        <f t="shared" ca="1" si="8"/>
        <v>46040.622929282406</v>
      </c>
    </row>
    <row r="190" spans="1:24" ht="15.75" thickBot="1" x14ac:dyDescent="0.3">
      <c r="A190" s="5" t="s">
        <v>335</v>
      </c>
      <c r="B190" s="3">
        <v>45670</v>
      </c>
      <c r="C190" s="12" t="str">
        <f>TEXT(Table1[[#This Row],[Date]],"mmm")</f>
        <v>Jan</v>
      </c>
      <c r="D190" s="12">
        <f>YEAR(Table1[[#This Row],[Date]])</f>
        <v>2025</v>
      </c>
      <c r="E190" s="3" t="str">
        <f>TEXT(Table1[[#This Row],[Date]],"mmm-yyyy")</f>
        <v>Jan-2025</v>
      </c>
      <c r="F190" s="1" t="s">
        <v>86</v>
      </c>
      <c r="G190" s="1" t="s">
        <v>87</v>
      </c>
      <c r="H190" s="1" t="str">
        <f>LEFT(Table1[[#This Row],[Customer_Name]],1)&amp;LEFT(MID(Table1[[#This Row],[Customer_Name]],FIND(" ",Table1[[#This Row],[Customer_Name]])+1,50),1)</f>
        <v>MC</v>
      </c>
      <c r="I190" s="1" t="s">
        <v>105</v>
      </c>
      <c r="J190" s="1" t="s">
        <v>106</v>
      </c>
      <c r="K190" s="1" t="s">
        <v>46</v>
      </c>
      <c r="L190" s="12">
        <v>1</v>
      </c>
      <c r="M190" s="16">
        <v>299.99</v>
      </c>
      <c r="N190" s="1" t="s">
        <v>26</v>
      </c>
      <c r="O190" s="1" t="s">
        <v>40</v>
      </c>
      <c r="P190" s="1" t="str">
        <f>UPPER(LEFT(Table1[[#This Row],[Region]],2))</f>
        <v>NO</v>
      </c>
      <c r="Q190" s="1" t="s">
        <v>22</v>
      </c>
      <c r="R190" s="3">
        <v>44436</v>
      </c>
      <c r="S190" s="20">
        <v>299.99</v>
      </c>
      <c r="T190" s="23">
        <f t="shared" ca="1" si="6"/>
        <v>46057</v>
      </c>
      <c r="U190" s="26">
        <f t="shared" ca="1" si="7"/>
        <v>46057.595634259262</v>
      </c>
      <c r="V190" s="25">
        <f ca="1">DATEDIF(Table1[[#This Row],[Date]],TODAY(),"d")</f>
        <v>387</v>
      </c>
      <c r="W190" s="28">
        <f>EOMONTH(Table1[[#This Row],[Date]],0)</f>
        <v>45688</v>
      </c>
      <c r="X190" s="26">
        <f t="shared" ca="1" si="8"/>
        <v>46040.622929282406</v>
      </c>
    </row>
    <row r="191" spans="1:24" ht="15.75" thickBot="1" x14ac:dyDescent="0.3">
      <c r="A191" s="5" t="s">
        <v>336</v>
      </c>
      <c r="B191" s="3">
        <v>45671</v>
      </c>
      <c r="C191" s="12" t="str">
        <f>TEXT(Table1[[#This Row],[Date]],"mmm")</f>
        <v>Jan</v>
      </c>
      <c r="D191" s="12">
        <f>YEAR(Table1[[#This Row],[Date]])</f>
        <v>2025</v>
      </c>
      <c r="E191" s="3" t="str">
        <f>TEXT(Table1[[#This Row],[Date]],"mmm-yyyy")</f>
        <v>Jan-2025</v>
      </c>
      <c r="F191" s="1" t="s">
        <v>158</v>
      </c>
      <c r="G191" s="1" t="s">
        <v>159</v>
      </c>
      <c r="H191" s="1" t="str">
        <f>LEFT(Table1[[#This Row],[Customer_Name]],1)&amp;LEFT(MID(Table1[[#This Row],[Customer_Name]],FIND(" ",Table1[[#This Row],[Customer_Name]])+1,50),1)</f>
        <v>BC</v>
      </c>
      <c r="I191" s="1" t="s">
        <v>17</v>
      </c>
      <c r="J191" s="1" t="s">
        <v>18</v>
      </c>
      <c r="K191" s="1" t="s">
        <v>19</v>
      </c>
      <c r="L191" s="12">
        <v>4</v>
      </c>
      <c r="M191" s="16">
        <v>249.99</v>
      </c>
      <c r="N191" s="1" t="s">
        <v>26</v>
      </c>
      <c r="O191" s="1" t="s">
        <v>40</v>
      </c>
      <c r="P191" s="1" t="str">
        <f>UPPER(LEFT(Table1[[#This Row],[Region]],2))</f>
        <v>NO</v>
      </c>
      <c r="Q191" s="1" t="s">
        <v>27</v>
      </c>
      <c r="R191" s="3">
        <v>44460</v>
      </c>
      <c r="S191" s="20">
        <v>999.96</v>
      </c>
      <c r="T191" s="23">
        <f t="shared" ca="1" si="6"/>
        <v>46057</v>
      </c>
      <c r="U191" s="26">
        <f t="shared" ca="1" si="7"/>
        <v>46057.595634259262</v>
      </c>
      <c r="V191" s="25">
        <f ca="1">DATEDIF(Table1[[#This Row],[Date]],TODAY(),"d")</f>
        <v>386</v>
      </c>
      <c r="W191" s="28">
        <f>EOMONTH(Table1[[#This Row],[Date]],0)</f>
        <v>45688</v>
      </c>
      <c r="X191" s="26">
        <f t="shared" ca="1" si="8"/>
        <v>46040.622929282406</v>
      </c>
    </row>
    <row r="192" spans="1:24" ht="15.75" thickBot="1" x14ac:dyDescent="0.3">
      <c r="A192" s="5" t="s">
        <v>337</v>
      </c>
      <c r="B192" s="3">
        <v>45671</v>
      </c>
      <c r="C192" s="12" t="str">
        <f>TEXT(Table1[[#This Row],[Date]],"mmm")</f>
        <v>Jan</v>
      </c>
      <c r="D192" s="12">
        <f>YEAR(Table1[[#This Row],[Date]])</f>
        <v>2025</v>
      </c>
      <c r="E192" s="3" t="str">
        <f>TEXT(Table1[[#This Row],[Date]],"mmm-yyyy")</f>
        <v>Jan-2025</v>
      </c>
      <c r="F192" s="1" t="s">
        <v>120</v>
      </c>
      <c r="G192" s="1" t="s">
        <v>121</v>
      </c>
      <c r="H192" s="1" t="str">
        <f>LEFT(Table1[[#This Row],[Customer_Name]],1)&amp;LEFT(MID(Table1[[#This Row],[Customer_Name]],FIND(" ",Table1[[#This Row],[Customer_Name]])+1,50),1)</f>
        <v>HR</v>
      </c>
      <c r="I192" s="1" t="s">
        <v>52</v>
      </c>
      <c r="J192" s="1" t="s">
        <v>53</v>
      </c>
      <c r="K192" s="1" t="s">
        <v>19</v>
      </c>
      <c r="L192" s="12">
        <v>2</v>
      </c>
      <c r="M192" s="16">
        <v>149.99</v>
      </c>
      <c r="N192" s="1" t="s">
        <v>20</v>
      </c>
      <c r="O192" s="1" t="s">
        <v>40</v>
      </c>
      <c r="P192" s="1" t="str">
        <f>UPPER(LEFT(Table1[[#This Row],[Region]],2))</f>
        <v>NO</v>
      </c>
      <c r="Q192" s="1" t="s">
        <v>36</v>
      </c>
      <c r="R192" s="3">
        <v>44913</v>
      </c>
      <c r="S192" s="20">
        <v>299.98</v>
      </c>
      <c r="T192" s="23">
        <f t="shared" ca="1" si="6"/>
        <v>46057</v>
      </c>
      <c r="U192" s="26">
        <f t="shared" ca="1" si="7"/>
        <v>46057.595634259262</v>
      </c>
      <c r="V192" s="25">
        <f ca="1">DATEDIF(Table1[[#This Row],[Date]],TODAY(),"d")</f>
        <v>386</v>
      </c>
      <c r="W192" s="28">
        <f>EOMONTH(Table1[[#This Row],[Date]],0)</f>
        <v>45688</v>
      </c>
      <c r="X192" s="26">
        <f t="shared" ca="1" si="8"/>
        <v>46040.622929282406</v>
      </c>
    </row>
    <row r="193" spans="1:24" ht="15.75" thickBot="1" x14ac:dyDescent="0.3">
      <c r="A193" s="5" t="s">
        <v>338</v>
      </c>
      <c r="B193" s="3">
        <v>45671</v>
      </c>
      <c r="C193" s="12" t="str">
        <f>TEXT(Table1[[#This Row],[Date]],"mmm")</f>
        <v>Jan</v>
      </c>
      <c r="D193" s="12">
        <f>YEAR(Table1[[#This Row],[Date]])</f>
        <v>2025</v>
      </c>
      <c r="E193" s="3" t="str">
        <f>TEXT(Table1[[#This Row],[Date]],"mmm-yyyy")</f>
        <v>Jan-2025</v>
      </c>
      <c r="F193" s="1" t="s">
        <v>234</v>
      </c>
      <c r="G193" s="1" t="s">
        <v>235</v>
      </c>
      <c r="H193" s="1" t="str">
        <f>LEFT(Table1[[#This Row],[Customer_Name]],1)&amp;LEFT(MID(Table1[[#This Row],[Customer_Name]],FIND(" ",Table1[[#This Row],[Customer_Name]])+1,50),1)</f>
        <v>SP</v>
      </c>
      <c r="I193" s="1" t="s">
        <v>105</v>
      </c>
      <c r="J193" s="1" t="s">
        <v>106</v>
      </c>
      <c r="K193" s="1" t="s">
        <v>46</v>
      </c>
      <c r="L193" s="12">
        <v>3</v>
      </c>
      <c r="M193" s="16">
        <v>299.99</v>
      </c>
      <c r="N193" s="1" t="s">
        <v>26</v>
      </c>
      <c r="O193" s="1" t="s">
        <v>35</v>
      </c>
      <c r="P193" s="1" t="str">
        <f>UPPER(LEFT(Table1[[#This Row],[Region]],2))</f>
        <v>SO</v>
      </c>
      <c r="Q193" s="1" t="s">
        <v>22</v>
      </c>
      <c r="R193" s="3">
        <v>45204</v>
      </c>
      <c r="S193" s="20">
        <v>899.97</v>
      </c>
      <c r="T193" s="23">
        <f t="shared" ca="1" si="6"/>
        <v>46057</v>
      </c>
      <c r="U193" s="26">
        <f t="shared" ca="1" si="7"/>
        <v>46057.595634259262</v>
      </c>
      <c r="V193" s="25">
        <f ca="1">DATEDIF(Table1[[#This Row],[Date]],TODAY(),"d")</f>
        <v>386</v>
      </c>
      <c r="W193" s="28">
        <f>EOMONTH(Table1[[#This Row],[Date]],0)</f>
        <v>45688</v>
      </c>
      <c r="X193" s="26">
        <f t="shared" ca="1" si="8"/>
        <v>46040.622929282406</v>
      </c>
    </row>
    <row r="194" spans="1:24" ht="15.75" thickBot="1" x14ac:dyDescent="0.3">
      <c r="A194" s="5" t="s">
        <v>339</v>
      </c>
      <c r="B194" s="3">
        <v>45673</v>
      </c>
      <c r="C194" s="12" t="str">
        <f>TEXT(Table1[[#This Row],[Date]],"mmm")</f>
        <v>Jan</v>
      </c>
      <c r="D194" s="12">
        <f>YEAR(Table1[[#This Row],[Date]])</f>
        <v>2025</v>
      </c>
      <c r="E194" s="3" t="str">
        <f>TEXT(Table1[[#This Row],[Date]],"mmm-yyyy")</f>
        <v>Jan-2025</v>
      </c>
      <c r="F194" s="1" t="s">
        <v>226</v>
      </c>
      <c r="G194" s="1" t="s">
        <v>227</v>
      </c>
      <c r="H194" s="1" t="str">
        <f>LEFT(Table1[[#This Row],[Customer_Name]],1)&amp;LEFT(MID(Table1[[#This Row],[Customer_Name]],FIND(" ",Table1[[#This Row],[Customer_Name]])+1,50),1)</f>
        <v>LR</v>
      </c>
      <c r="I194" s="1" t="s">
        <v>126</v>
      </c>
      <c r="J194" s="1" t="s">
        <v>127</v>
      </c>
      <c r="K194" s="1" t="s">
        <v>46</v>
      </c>
      <c r="L194" s="12">
        <v>4</v>
      </c>
      <c r="M194" s="16">
        <v>199.99</v>
      </c>
      <c r="N194" s="1" t="s">
        <v>57</v>
      </c>
      <c r="O194" s="1" t="s">
        <v>35</v>
      </c>
      <c r="P194" s="1" t="str">
        <f>UPPER(LEFT(Table1[[#This Row],[Region]],2))</f>
        <v>SO</v>
      </c>
      <c r="Q194" s="1" t="s">
        <v>36</v>
      </c>
      <c r="R194" s="3">
        <v>44544</v>
      </c>
      <c r="S194" s="20">
        <v>799.96</v>
      </c>
      <c r="T194" s="23">
        <f t="shared" ref="T194:T251" ca="1" si="9">TODAY()</f>
        <v>46057</v>
      </c>
      <c r="U194" s="26">
        <f t="shared" ref="U194:U251" ca="1" si="10">NOW()</f>
        <v>46057.595634259262</v>
      </c>
      <c r="V194" s="25">
        <f ca="1">DATEDIF(Table1[[#This Row],[Date]],TODAY(),"d")</f>
        <v>384</v>
      </c>
      <c r="W194" s="28">
        <f>EOMONTH(Table1[[#This Row],[Date]],0)</f>
        <v>45688</v>
      </c>
      <c r="X194" s="26">
        <f t="shared" ref="X194:X251" ca="1" si="11">IF($A194="", "", IF(X194=0, NOW(), X194))</f>
        <v>46040.622929282406</v>
      </c>
    </row>
    <row r="195" spans="1:24" ht="15.75" thickBot="1" x14ac:dyDescent="0.3">
      <c r="A195" s="5" t="s">
        <v>340</v>
      </c>
      <c r="B195" s="3">
        <v>45673</v>
      </c>
      <c r="C195" s="12" t="str">
        <f>TEXT(Table1[[#This Row],[Date]],"mmm")</f>
        <v>Jan</v>
      </c>
      <c r="D195" s="12">
        <f>YEAR(Table1[[#This Row],[Date]])</f>
        <v>2025</v>
      </c>
      <c r="E195" s="3" t="str">
        <f>TEXT(Table1[[#This Row],[Date]],"mmm-yyyy")</f>
        <v>Jan-2025</v>
      </c>
      <c r="F195" s="1" t="s">
        <v>211</v>
      </c>
      <c r="G195" s="1" t="s">
        <v>212</v>
      </c>
      <c r="H195" s="1" t="str">
        <f>LEFT(Table1[[#This Row],[Customer_Name]],1)&amp;LEFT(MID(Table1[[#This Row],[Customer_Name]],FIND(" ",Table1[[#This Row],[Customer_Name]])+1,50),1)</f>
        <v>EH</v>
      </c>
      <c r="I195" s="1" t="s">
        <v>105</v>
      </c>
      <c r="J195" s="1" t="s">
        <v>106</v>
      </c>
      <c r="K195" s="1" t="s">
        <v>46</v>
      </c>
      <c r="L195" s="12">
        <v>5</v>
      </c>
      <c r="M195" s="16">
        <v>299.99</v>
      </c>
      <c r="N195" s="1" t="s">
        <v>57</v>
      </c>
      <c r="O195" s="1" t="s">
        <v>21</v>
      </c>
      <c r="P195" s="1" t="str">
        <f>UPPER(LEFT(Table1[[#This Row],[Region]],2))</f>
        <v>CE</v>
      </c>
      <c r="Q195" s="1" t="s">
        <v>22</v>
      </c>
      <c r="R195" s="3">
        <v>44431</v>
      </c>
      <c r="S195" s="20">
        <v>1499.95</v>
      </c>
      <c r="T195" s="23">
        <f t="shared" ca="1" si="9"/>
        <v>46057</v>
      </c>
      <c r="U195" s="26">
        <f t="shared" ca="1" si="10"/>
        <v>46057.595634259262</v>
      </c>
      <c r="V195" s="25">
        <f ca="1">DATEDIF(Table1[[#This Row],[Date]],TODAY(),"d")</f>
        <v>384</v>
      </c>
      <c r="W195" s="28">
        <f>EOMONTH(Table1[[#This Row],[Date]],0)</f>
        <v>45688</v>
      </c>
      <c r="X195" s="26">
        <f t="shared" ca="1" si="11"/>
        <v>46040.622929282406</v>
      </c>
    </row>
    <row r="196" spans="1:24" ht="15.75" thickBot="1" x14ac:dyDescent="0.3">
      <c r="A196" s="5" t="s">
        <v>341</v>
      </c>
      <c r="B196" s="3">
        <v>45673</v>
      </c>
      <c r="C196" s="12" t="str">
        <f>TEXT(Table1[[#This Row],[Date]],"mmm")</f>
        <v>Jan</v>
      </c>
      <c r="D196" s="12">
        <f>YEAR(Table1[[#This Row],[Date]])</f>
        <v>2025</v>
      </c>
      <c r="E196" s="3" t="str">
        <f>TEXT(Table1[[#This Row],[Date]],"mmm-yyyy")</f>
        <v>Jan-2025</v>
      </c>
      <c r="F196" s="1" t="s">
        <v>59</v>
      </c>
      <c r="G196" s="1" t="s">
        <v>60</v>
      </c>
      <c r="H196" s="1" t="str">
        <f>LEFT(Table1[[#This Row],[Customer_Name]],1)&amp;LEFT(MID(Table1[[#This Row],[Customer_Name]],FIND(" ",Table1[[#This Row],[Customer_Name]])+1,50),1)</f>
        <v>RT</v>
      </c>
      <c r="I196" s="1" t="s">
        <v>44</v>
      </c>
      <c r="J196" s="1" t="s">
        <v>45</v>
      </c>
      <c r="K196" s="1" t="s">
        <v>46</v>
      </c>
      <c r="L196" s="12">
        <v>3</v>
      </c>
      <c r="M196" s="16">
        <v>149.99</v>
      </c>
      <c r="N196" s="1" t="s">
        <v>26</v>
      </c>
      <c r="O196" s="1" t="s">
        <v>63</v>
      </c>
      <c r="P196" s="1" t="str">
        <f>UPPER(LEFT(Table1[[#This Row],[Region]],2))</f>
        <v>EA</v>
      </c>
      <c r="Q196" s="1" t="s">
        <v>36</v>
      </c>
      <c r="R196" s="3">
        <v>44395</v>
      </c>
      <c r="S196" s="20">
        <v>449.97</v>
      </c>
      <c r="T196" s="23">
        <f t="shared" ca="1" si="9"/>
        <v>46057</v>
      </c>
      <c r="U196" s="26">
        <f t="shared" ca="1" si="10"/>
        <v>46057.595634259262</v>
      </c>
      <c r="V196" s="25">
        <f ca="1">DATEDIF(Table1[[#This Row],[Date]],TODAY(),"d")</f>
        <v>384</v>
      </c>
      <c r="W196" s="28">
        <f>EOMONTH(Table1[[#This Row],[Date]],0)</f>
        <v>45688</v>
      </c>
      <c r="X196" s="26">
        <f t="shared" ca="1" si="11"/>
        <v>46040.622929282406</v>
      </c>
    </row>
    <row r="197" spans="1:24" ht="15.75" thickBot="1" x14ac:dyDescent="0.3">
      <c r="A197" s="5" t="s">
        <v>342</v>
      </c>
      <c r="B197" s="3">
        <v>45676</v>
      </c>
      <c r="C197" s="12" t="str">
        <f>TEXT(Table1[[#This Row],[Date]],"mmm")</f>
        <v>Jan</v>
      </c>
      <c r="D197" s="12">
        <f>YEAR(Table1[[#This Row],[Date]])</f>
        <v>2025</v>
      </c>
      <c r="E197" s="3" t="str">
        <f>TEXT(Table1[[#This Row],[Date]],"mmm-yyyy")</f>
        <v>Jan-2025</v>
      </c>
      <c r="F197" s="1" t="s">
        <v>129</v>
      </c>
      <c r="G197" s="1" t="s">
        <v>130</v>
      </c>
      <c r="H197" s="1" t="str">
        <f>LEFT(Table1[[#This Row],[Customer_Name]],1)&amp;LEFT(MID(Table1[[#This Row],[Customer_Name]],FIND(" ",Table1[[#This Row],[Customer_Name]])+1,50),1)</f>
        <v>LA</v>
      </c>
      <c r="I197" s="1" t="s">
        <v>31</v>
      </c>
      <c r="J197" s="1" t="s">
        <v>32</v>
      </c>
      <c r="K197" s="1" t="s">
        <v>33</v>
      </c>
      <c r="L197" s="12">
        <v>5</v>
      </c>
      <c r="M197" s="16">
        <v>59.99</v>
      </c>
      <c r="N197" s="1" t="s">
        <v>57</v>
      </c>
      <c r="O197" s="1" t="s">
        <v>63</v>
      </c>
      <c r="P197" s="1" t="str">
        <f>UPPER(LEFT(Table1[[#This Row],[Region]],2))</f>
        <v>EA</v>
      </c>
      <c r="Q197" s="1" t="s">
        <v>22</v>
      </c>
      <c r="R197" s="3">
        <v>44642</v>
      </c>
      <c r="S197" s="20">
        <v>299.95</v>
      </c>
      <c r="T197" s="23">
        <f t="shared" ca="1" si="9"/>
        <v>46057</v>
      </c>
      <c r="U197" s="26">
        <f t="shared" ca="1" si="10"/>
        <v>46057.595634259262</v>
      </c>
      <c r="V197" s="25">
        <f ca="1">DATEDIF(Table1[[#This Row],[Date]],TODAY(),"d")</f>
        <v>381</v>
      </c>
      <c r="W197" s="28">
        <f>EOMONTH(Table1[[#This Row],[Date]],0)</f>
        <v>45688</v>
      </c>
      <c r="X197" s="26">
        <f t="shared" ca="1" si="11"/>
        <v>46040.622929282406</v>
      </c>
    </row>
    <row r="198" spans="1:24" ht="15.75" thickBot="1" x14ac:dyDescent="0.3">
      <c r="A198" s="5" t="s">
        <v>343</v>
      </c>
      <c r="B198" s="3">
        <v>45682</v>
      </c>
      <c r="C198" s="12" t="str">
        <f>TEXT(Table1[[#This Row],[Date]],"mmm")</f>
        <v>Jan</v>
      </c>
      <c r="D198" s="12">
        <f>YEAR(Table1[[#This Row],[Date]])</f>
        <v>2025</v>
      </c>
      <c r="E198" s="3" t="str">
        <f>TEXT(Table1[[#This Row],[Date]],"mmm-yyyy")</f>
        <v>Jan-2025</v>
      </c>
      <c r="F198" s="1" t="s">
        <v>68</v>
      </c>
      <c r="G198" s="1" t="s">
        <v>69</v>
      </c>
      <c r="H198" s="1" t="str">
        <f>LEFT(Table1[[#This Row],[Customer_Name]],1)&amp;LEFT(MID(Table1[[#This Row],[Customer_Name]],FIND(" ",Table1[[#This Row],[Customer_Name]])+1,50),1)</f>
        <v>SG</v>
      </c>
      <c r="I198" s="1" t="s">
        <v>31</v>
      </c>
      <c r="J198" s="1" t="s">
        <v>32</v>
      </c>
      <c r="K198" s="1" t="s">
        <v>33</v>
      </c>
      <c r="L198" s="12">
        <v>4</v>
      </c>
      <c r="M198" s="16">
        <v>59.99</v>
      </c>
      <c r="N198" s="1" t="s">
        <v>57</v>
      </c>
      <c r="O198" s="1" t="s">
        <v>63</v>
      </c>
      <c r="P198" s="1" t="str">
        <f>UPPER(LEFT(Table1[[#This Row],[Region]],2))</f>
        <v>EA</v>
      </c>
      <c r="Q198" s="1" t="s">
        <v>36</v>
      </c>
      <c r="R198" s="3">
        <v>44564</v>
      </c>
      <c r="S198" s="20">
        <v>239.96</v>
      </c>
      <c r="T198" s="23">
        <f t="shared" ca="1" si="9"/>
        <v>46057</v>
      </c>
      <c r="U198" s="26">
        <f t="shared" ca="1" si="10"/>
        <v>46057.595634259262</v>
      </c>
      <c r="V198" s="25">
        <f ca="1">DATEDIF(Table1[[#This Row],[Date]],TODAY(),"d")</f>
        <v>375</v>
      </c>
      <c r="W198" s="28">
        <f>EOMONTH(Table1[[#This Row],[Date]],0)</f>
        <v>45688</v>
      </c>
      <c r="X198" s="26">
        <f t="shared" ca="1" si="11"/>
        <v>46040.622929282406</v>
      </c>
    </row>
    <row r="199" spans="1:24" ht="15.75" thickBot="1" x14ac:dyDescent="0.3">
      <c r="A199" s="5" t="s">
        <v>344</v>
      </c>
      <c r="B199" s="3">
        <v>45683</v>
      </c>
      <c r="C199" s="12" t="str">
        <f>TEXT(Table1[[#This Row],[Date]],"mmm")</f>
        <v>Jan</v>
      </c>
      <c r="D199" s="12">
        <f>YEAR(Table1[[#This Row],[Date]])</f>
        <v>2025</v>
      </c>
      <c r="E199" s="3" t="str">
        <f>TEXT(Table1[[#This Row],[Date]],"mmm-yyyy")</f>
        <v>Jan-2025</v>
      </c>
      <c r="F199" s="1" t="s">
        <v>48</v>
      </c>
      <c r="G199" s="1" t="s">
        <v>49</v>
      </c>
      <c r="H199" s="1" t="str">
        <f>LEFT(Table1[[#This Row],[Customer_Name]],1)&amp;LEFT(MID(Table1[[#This Row],[Customer_Name]],FIND(" ",Table1[[#This Row],[Customer_Name]])+1,50),1)</f>
        <v>DN</v>
      </c>
      <c r="I199" s="1" t="s">
        <v>17</v>
      </c>
      <c r="J199" s="1" t="s">
        <v>18</v>
      </c>
      <c r="K199" s="1" t="s">
        <v>19</v>
      </c>
      <c r="L199" s="12">
        <v>4</v>
      </c>
      <c r="M199" s="16">
        <v>249.99</v>
      </c>
      <c r="N199" s="1" t="s">
        <v>57</v>
      </c>
      <c r="O199" s="1" t="s">
        <v>21</v>
      </c>
      <c r="P199" s="1" t="str">
        <f>UPPER(LEFT(Table1[[#This Row],[Region]],2))</f>
        <v>CE</v>
      </c>
      <c r="Q199" s="1" t="s">
        <v>27</v>
      </c>
      <c r="R199" s="3">
        <v>45217</v>
      </c>
      <c r="S199" s="20">
        <v>999.96</v>
      </c>
      <c r="T199" s="23">
        <f t="shared" ca="1" si="9"/>
        <v>46057</v>
      </c>
      <c r="U199" s="26">
        <f t="shared" ca="1" si="10"/>
        <v>46057.595634259262</v>
      </c>
      <c r="V199" s="25">
        <f ca="1">DATEDIF(Table1[[#This Row],[Date]],TODAY(),"d")</f>
        <v>374</v>
      </c>
      <c r="W199" s="28">
        <f>EOMONTH(Table1[[#This Row],[Date]],0)</f>
        <v>45688</v>
      </c>
      <c r="X199" s="26">
        <f t="shared" ca="1" si="11"/>
        <v>46040.622929282406</v>
      </c>
    </row>
    <row r="200" spans="1:24" ht="15.75" thickBot="1" x14ac:dyDescent="0.3">
      <c r="A200" s="5" t="s">
        <v>345</v>
      </c>
      <c r="B200" s="3">
        <v>45686</v>
      </c>
      <c r="C200" s="12" t="str">
        <f>TEXT(Table1[[#This Row],[Date]],"mmm")</f>
        <v>Jan</v>
      </c>
      <c r="D200" s="12">
        <f>YEAR(Table1[[#This Row],[Date]])</f>
        <v>2025</v>
      </c>
      <c r="E200" s="3" t="str">
        <f>TEXT(Table1[[#This Row],[Date]],"mmm-yyyy")</f>
        <v>Jan-2025</v>
      </c>
      <c r="F200" s="1" t="s">
        <v>252</v>
      </c>
      <c r="G200" s="1" t="s">
        <v>253</v>
      </c>
      <c r="H200" s="1" t="str">
        <f>LEFT(Table1[[#This Row],[Customer_Name]],1)&amp;LEFT(MID(Table1[[#This Row],[Customer_Name]],FIND(" ",Table1[[#This Row],[Customer_Name]])+1,50),1)</f>
        <v>WW</v>
      </c>
      <c r="I200" s="1" t="s">
        <v>61</v>
      </c>
      <c r="J200" s="1" t="s">
        <v>62</v>
      </c>
      <c r="K200" s="1" t="s">
        <v>19</v>
      </c>
      <c r="L200" s="12">
        <v>4</v>
      </c>
      <c r="M200" s="16">
        <v>899.99</v>
      </c>
      <c r="N200" s="1" t="s">
        <v>34</v>
      </c>
      <c r="O200" s="1" t="s">
        <v>21</v>
      </c>
      <c r="P200" s="1" t="str">
        <f>UPPER(LEFT(Table1[[#This Row],[Region]],2))</f>
        <v>CE</v>
      </c>
      <c r="Q200" s="1" t="s">
        <v>22</v>
      </c>
      <c r="R200" s="3">
        <v>44734</v>
      </c>
      <c r="S200" s="20">
        <v>3599.96</v>
      </c>
      <c r="T200" s="23">
        <f t="shared" ca="1" si="9"/>
        <v>46057</v>
      </c>
      <c r="U200" s="26">
        <f t="shared" ca="1" si="10"/>
        <v>46057.595634259262</v>
      </c>
      <c r="V200" s="25">
        <f ca="1">DATEDIF(Table1[[#This Row],[Date]],TODAY(),"d")</f>
        <v>371</v>
      </c>
      <c r="W200" s="28">
        <f>EOMONTH(Table1[[#This Row],[Date]],0)</f>
        <v>45688</v>
      </c>
      <c r="X200" s="26">
        <f t="shared" ca="1" si="11"/>
        <v>46040.622929282406</v>
      </c>
    </row>
    <row r="201" spans="1:24" ht="15.75" thickBot="1" x14ac:dyDescent="0.3">
      <c r="A201" s="5" t="s">
        <v>346</v>
      </c>
      <c r="B201" s="3">
        <v>45686</v>
      </c>
      <c r="C201" s="12" t="str">
        <f>TEXT(Table1[[#This Row],[Date]],"mmm")</f>
        <v>Jan</v>
      </c>
      <c r="D201" s="12">
        <f>YEAR(Table1[[#This Row],[Date]])</f>
        <v>2025</v>
      </c>
      <c r="E201" s="3" t="str">
        <f>TEXT(Table1[[#This Row],[Date]],"mmm-yyyy")</f>
        <v>Jan-2025</v>
      </c>
      <c r="F201" s="1" t="s">
        <v>86</v>
      </c>
      <c r="G201" s="1" t="s">
        <v>87</v>
      </c>
      <c r="H201" s="1" t="str">
        <f>LEFT(Table1[[#This Row],[Customer_Name]],1)&amp;LEFT(MID(Table1[[#This Row],[Customer_Name]],FIND(" ",Table1[[#This Row],[Customer_Name]])+1,50),1)</f>
        <v>MC</v>
      </c>
      <c r="I201" s="1" t="s">
        <v>105</v>
      </c>
      <c r="J201" s="1" t="s">
        <v>106</v>
      </c>
      <c r="K201" s="1" t="s">
        <v>46</v>
      </c>
      <c r="L201" s="12">
        <v>3</v>
      </c>
      <c r="M201" s="16">
        <v>299.99</v>
      </c>
      <c r="N201" s="1" t="s">
        <v>57</v>
      </c>
      <c r="O201" s="1" t="s">
        <v>50</v>
      </c>
      <c r="P201" s="1" t="str">
        <f>UPPER(LEFT(Table1[[#This Row],[Region]],2))</f>
        <v>WE</v>
      </c>
      <c r="Q201" s="1" t="s">
        <v>36</v>
      </c>
      <c r="R201" s="3">
        <v>44952</v>
      </c>
      <c r="S201" s="20">
        <v>899.97</v>
      </c>
      <c r="T201" s="23">
        <f t="shared" ca="1" si="9"/>
        <v>46057</v>
      </c>
      <c r="U201" s="26">
        <f t="shared" ca="1" si="10"/>
        <v>46057.595634259262</v>
      </c>
      <c r="V201" s="25">
        <f ca="1">DATEDIF(Table1[[#This Row],[Date]],TODAY(),"d")</f>
        <v>371</v>
      </c>
      <c r="W201" s="28">
        <f>EOMONTH(Table1[[#This Row],[Date]],0)</f>
        <v>45688</v>
      </c>
      <c r="X201" s="26">
        <f t="shared" ca="1" si="11"/>
        <v>46040.622929282406</v>
      </c>
    </row>
    <row r="202" spans="1:24" ht="15.75" thickBot="1" x14ac:dyDescent="0.3">
      <c r="A202" s="5" t="s">
        <v>347</v>
      </c>
      <c r="B202" s="3">
        <v>45686</v>
      </c>
      <c r="C202" s="12" t="str">
        <f>TEXT(Table1[[#This Row],[Date]],"mmm")</f>
        <v>Jan</v>
      </c>
      <c r="D202" s="12">
        <f>YEAR(Table1[[#This Row],[Date]])</f>
        <v>2025</v>
      </c>
      <c r="E202" s="3" t="str">
        <f>TEXT(Table1[[#This Row],[Date]],"mmm-yyyy")</f>
        <v>Jan-2025</v>
      </c>
      <c r="F202" s="1" t="s">
        <v>293</v>
      </c>
      <c r="G202" s="1" t="s">
        <v>294</v>
      </c>
      <c r="H202" s="1" t="str">
        <f>LEFT(Table1[[#This Row],[Customer_Name]],1)&amp;LEFT(MID(Table1[[#This Row],[Customer_Name]],FIND(" ",Table1[[#This Row],[Customer_Name]])+1,50),1)</f>
        <v>DW</v>
      </c>
      <c r="I202" s="1" t="s">
        <v>80</v>
      </c>
      <c r="J202" s="1" t="s">
        <v>81</v>
      </c>
      <c r="K202" s="1" t="s">
        <v>19</v>
      </c>
      <c r="L202" s="12">
        <v>2</v>
      </c>
      <c r="M202" s="16">
        <v>699.99</v>
      </c>
      <c r="N202" s="1" t="s">
        <v>57</v>
      </c>
      <c r="O202" s="1" t="s">
        <v>21</v>
      </c>
      <c r="P202" s="1" t="str">
        <f>UPPER(LEFT(Table1[[#This Row],[Region]],2))</f>
        <v>CE</v>
      </c>
      <c r="Q202" s="1" t="s">
        <v>27</v>
      </c>
      <c r="R202" s="3">
        <v>44681</v>
      </c>
      <c r="S202" s="20">
        <v>1399.98</v>
      </c>
      <c r="T202" s="23">
        <f t="shared" ca="1" si="9"/>
        <v>46057</v>
      </c>
      <c r="U202" s="26">
        <f t="shared" ca="1" si="10"/>
        <v>46057.595634259262</v>
      </c>
      <c r="V202" s="25">
        <f ca="1">DATEDIF(Table1[[#This Row],[Date]],TODAY(),"d")</f>
        <v>371</v>
      </c>
      <c r="W202" s="28">
        <f>EOMONTH(Table1[[#This Row],[Date]],0)</f>
        <v>45688</v>
      </c>
      <c r="X202" s="26">
        <f t="shared" ca="1" si="11"/>
        <v>46040.622929282406</v>
      </c>
    </row>
    <row r="203" spans="1:24" ht="15.75" thickBot="1" x14ac:dyDescent="0.3">
      <c r="A203" s="5" t="s">
        <v>348</v>
      </c>
      <c r="B203" s="3">
        <v>45688</v>
      </c>
      <c r="C203" s="12" t="str">
        <f>TEXT(Table1[[#This Row],[Date]],"mmm")</f>
        <v>Jan</v>
      </c>
      <c r="D203" s="12">
        <f>YEAR(Table1[[#This Row],[Date]])</f>
        <v>2025</v>
      </c>
      <c r="E203" s="3" t="str">
        <f>TEXT(Table1[[#This Row],[Date]],"mmm-yyyy")</f>
        <v>Jan-2025</v>
      </c>
      <c r="F203" s="1" t="s">
        <v>65</v>
      </c>
      <c r="G203" s="1" t="s">
        <v>66</v>
      </c>
      <c r="H203" s="1" t="str">
        <f>LEFT(Table1[[#This Row],[Customer_Name]],1)&amp;LEFT(MID(Table1[[#This Row],[Customer_Name]],FIND(" ",Table1[[#This Row],[Customer_Name]])+1,50),1)</f>
        <v>KH</v>
      </c>
      <c r="I203" s="1" t="s">
        <v>80</v>
      </c>
      <c r="J203" s="1" t="s">
        <v>81</v>
      </c>
      <c r="K203" s="1" t="s">
        <v>19</v>
      </c>
      <c r="L203" s="12">
        <v>4</v>
      </c>
      <c r="M203" s="16">
        <v>699.99</v>
      </c>
      <c r="N203" s="1" t="s">
        <v>57</v>
      </c>
      <c r="O203" s="1" t="s">
        <v>50</v>
      </c>
      <c r="P203" s="1" t="str">
        <f>UPPER(LEFT(Table1[[#This Row],[Region]],2))</f>
        <v>WE</v>
      </c>
      <c r="Q203" s="1" t="s">
        <v>27</v>
      </c>
      <c r="R203" s="3">
        <v>44692</v>
      </c>
      <c r="S203" s="20">
        <v>2799.96</v>
      </c>
      <c r="T203" s="23">
        <f t="shared" ca="1" si="9"/>
        <v>46057</v>
      </c>
      <c r="U203" s="26">
        <f t="shared" ca="1" si="10"/>
        <v>46057.595634259262</v>
      </c>
      <c r="V203" s="25">
        <f ca="1">DATEDIF(Table1[[#This Row],[Date]],TODAY(),"d")</f>
        <v>369</v>
      </c>
      <c r="W203" s="28">
        <f>EOMONTH(Table1[[#This Row],[Date]],0)</f>
        <v>45688</v>
      </c>
      <c r="X203" s="26">
        <f t="shared" ca="1" si="11"/>
        <v>46040.622929282406</v>
      </c>
    </row>
    <row r="204" spans="1:24" ht="15.75" thickBot="1" x14ac:dyDescent="0.3">
      <c r="A204" s="5" t="s">
        <v>349</v>
      </c>
      <c r="B204" s="3">
        <v>45688</v>
      </c>
      <c r="C204" s="12" t="str">
        <f>TEXT(Table1[[#This Row],[Date]],"mmm")</f>
        <v>Jan</v>
      </c>
      <c r="D204" s="12">
        <f>YEAR(Table1[[#This Row],[Date]])</f>
        <v>2025</v>
      </c>
      <c r="E204" s="3" t="str">
        <f>TEXT(Table1[[#This Row],[Date]],"mmm-yyyy")</f>
        <v>Jan-2025</v>
      </c>
      <c r="F204" s="1" t="s">
        <v>123</v>
      </c>
      <c r="G204" s="1" t="s">
        <v>124</v>
      </c>
      <c r="H204" s="1" t="str">
        <f>LEFT(Table1[[#This Row],[Customer_Name]],1)&amp;LEFT(MID(Table1[[#This Row],[Customer_Name]],FIND(" ",Table1[[#This Row],[Customer_Name]])+1,50),1)</f>
        <v>EM</v>
      </c>
      <c r="I204" s="1" t="s">
        <v>117</v>
      </c>
      <c r="J204" s="1" t="s">
        <v>118</v>
      </c>
      <c r="K204" s="1" t="s">
        <v>19</v>
      </c>
      <c r="L204" s="12">
        <v>2</v>
      </c>
      <c r="M204" s="16">
        <v>89.99</v>
      </c>
      <c r="N204" s="1" t="s">
        <v>57</v>
      </c>
      <c r="O204" s="1" t="s">
        <v>35</v>
      </c>
      <c r="P204" s="1" t="str">
        <f>UPPER(LEFT(Table1[[#This Row],[Region]],2))</f>
        <v>SO</v>
      </c>
      <c r="Q204" s="1" t="s">
        <v>22</v>
      </c>
      <c r="R204" s="3">
        <v>44777</v>
      </c>
      <c r="S204" s="20">
        <v>179.98</v>
      </c>
      <c r="T204" s="23">
        <f t="shared" ca="1" si="9"/>
        <v>46057</v>
      </c>
      <c r="U204" s="26">
        <f t="shared" ca="1" si="10"/>
        <v>46057.595634259262</v>
      </c>
      <c r="V204" s="25">
        <f ca="1">DATEDIF(Table1[[#This Row],[Date]],TODAY(),"d")</f>
        <v>369</v>
      </c>
      <c r="W204" s="28">
        <f>EOMONTH(Table1[[#This Row],[Date]],0)</f>
        <v>45688</v>
      </c>
      <c r="X204" s="26">
        <f t="shared" ca="1" si="11"/>
        <v>46040.622929282406</v>
      </c>
    </row>
    <row r="205" spans="1:24" ht="15.75" thickBot="1" x14ac:dyDescent="0.3">
      <c r="A205" s="5" t="s">
        <v>350</v>
      </c>
      <c r="B205" s="3">
        <v>45688</v>
      </c>
      <c r="C205" s="12" t="str">
        <f>TEXT(Table1[[#This Row],[Date]],"mmm")</f>
        <v>Jan</v>
      </c>
      <c r="D205" s="12">
        <f>YEAR(Table1[[#This Row],[Date]])</f>
        <v>2025</v>
      </c>
      <c r="E205" s="3" t="str">
        <f>TEXT(Table1[[#This Row],[Date]],"mmm-yyyy")</f>
        <v>Jan-2025</v>
      </c>
      <c r="F205" s="1" t="s">
        <v>42</v>
      </c>
      <c r="G205" s="1" t="s">
        <v>43</v>
      </c>
      <c r="H205" s="1" t="str">
        <f>LEFT(Table1[[#This Row],[Customer_Name]],1)&amp;LEFT(MID(Table1[[#This Row],[Customer_Name]],FIND(" ",Table1[[#This Row],[Customer_Name]])+1,50),1)</f>
        <v>MB</v>
      </c>
      <c r="I205" s="1" t="s">
        <v>117</v>
      </c>
      <c r="J205" s="1" t="s">
        <v>118</v>
      </c>
      <c r="K205" s="1" t="s">
        <v>19</v>
      </c>
      <c r="L205" s="12">
        <v>3</v>
      </c>
      <c r="M205" s="16">
        <v>89.99</v>
      </c>
      <c r="N205" s="1" t="s">
        <v>57</v>
      </c>
      <c r="O205" s="1" t="s">
        <v>35</v>
      </c>
      <c r="P205" s="1" t="str">
        <f>UPPER(LEFT(Table1[[#This Row],[Region]],2))</f>
        <v>SO</v>
      </c>
      <c r="Q205" s="1" t="s">
        <v>27</v>
      </c>
      <c r="R205" s="3">
        <v>45307</v>
      </c>
      <c r="S205" s="20">
        <v>269.97000000000003</v>
      </c>
      <c r="T205" s="23">
        <f t="shared" ca="1" si="9"/>
        <v>46057</v>
      </c>
      <c r="U205" s="26">
        <f t="shared" ca="1" si="10"/>
        <v>46057.595634259262</v>
      </c>
      <c r="V205" s="25">
        <f ca="1">DATEDIF(Table1[[#This Row],[Date]],TODAY(),"d")</f>
        <v>369</v>
      </c>
      <c r="W205" s="28">
        <f>EOMONTH(Table1[[#This Row],[Date]],0)</f>
        <v>45688</v>
      </c>
      <c r="X205" s="26">
        <f t="shared" ca="1" si="11"/>
        <v>46040.622929282406</v>
      </c>
    </row>
    <row r="206" spans="1:24" ht="15.75" thickBot="1" x14ac:dyDescent="0.3">
      <c r="A206" s="5" t="s">
        <v>351</v>
      </c>
      <c r="B206" s="3">
        <v>45692</v>
      </c>
      <c r="C206" s="12" t="str">
        <f>TEXT(Table1[[#This Row],[Date]],"mmm")</f>
        <v>Feb</v>
      </c>
      <c r="D206" s="12">
        <f>YEAR(Table1[[#This Row],[Date]])</f>
        <v>2025</v>
      </c>
      <c r="E206" s="3" t="str">
        <f>TEXT(Table1[[#This Row],[Date]],"mmm-yyyy")</f>
        <v>Feb-2025</v>
      </c>
      <c r="F206" s="1" t="s">
        <v>325</v>
      </c>
      <c r="G206" s="1" t="s">
        <v>326</v>
      </c>
      <c r="H206" s="1" t="str">
        <f>LEFT(Table1[[#This Row],[Customer_Name]],1)&amp;LEFT(MID(Table1[[#This Row],[Customer_Name]],FIND(" ",Table1[[#This Row],[Customer_Name]])+1,50),1)</f>
        <v>AE</v>
      </c>
      <c r="I206" s="1" t="s">
        <v>31</v>
      </c>
      <c r="J206" s="1" t="s">
        <v>32</v>
      </c>
      <c r="K206" s="1" t="s">
        <v>33</v>
      </c>
      <c r="L206" s="12">
        <v>1</v>
      </c>
      <c r="M206" s="16">
        <v>59.99</v>
      </c>
      <c r="N206" s="1" t="s">
        <v>57</v>
      </c>
      <c r="O206" s="1" t="s">
        <v>21</v>
      </c>
      <c r="P206" s="1" t="str">
        <f>UPPER(LEFT(Table1[[#This Row],[Region]],2))</f>
        <v>CE</v>
      </c>
      <c r="Q206" s="1" t="s">
        <v>36</v>
      </c>
      <c r="R206" s="3">
        <v>45045</v>
      </c>
      <c r="S206" s="20">
        <v>59.99</v>
      </c>
      <c r="T206" s="23">
        <f t="shared" ca="1" si="9"/>
        <v>46057</v>
      </c>
      <c r="U206" s="26">
        <f t="shared" ca="1" si="10"/>
        <v>46057.595634259262</v>
      </c>
      <c r="V206" s="25">
        <f ca="1">DATEDIF(Table1[[#This Row],[Date]],TODAY(),"d")</f>
        <v>365</v>
      </c>
      <c r="W206" s="28">
        <f>EOMONTH(Table1[[#This Row],[Date]],0)</f>
        <v>45716</v>
      </c>
      <c r="X206" s="26">
        <f t="shared" ca="1" si="11"/>
        <v>46040.622929282406</v>
      </c>
    </row>
    <row r="207" spans="1:24" ht="15.75" thickBot="1" x14ac:dyDescent="0.3">
      <c r="A207" s="5" t="s">
        <v>352</v>
      </c>
      <c r="B207" s="3">
        <v>45695</v>
      </c>
      <c r="C207" s="12" t="str">
        <f>TEXT(Table1[[#This Row],[Date]],"mmm")</f>
        <v>Feb</v>
      </c>
      <c r="D207" s="12">
        <f>YEAR(Table1[[#This Row],[Date]])</f>
        <v>2025</v>
      </c>
      <c r="E207" s="3" t="str">
        <f>TEXT(Table1[[#This Row],[Date]],"mmm-yyyy")</f>
        <v>Feb-2025</v>
      </c>
      <c r="F207" s="1" t="s">
        <v>246</v>
      </c>
      <c r="G207" s="1" t="s">
        <v>247</v>
      </c>
      <c r="H207" s="1" t="str">
        <f>LEFT(Table1[[#This Row],[Customer_Name]],1)&amp;LEFT(MID(Table1[[#This Row],[Customer_Name]],FIND(" ",Table1[[#This Row],[Customer_Name]])+1,50),1)</f>
        <v>RB</v>
      </c>
      <c r="I207" s="1" t="s">
        <v>44</v>
      </c>
      <c r="J207" s="1" t="s">
        <v>45</v>
      </c>
      <c r="K207" s="1" t="s">
        <v>46</v>
      </c>
      <c r="L207" s="12">
        <v>3</v>
      </c>
      <c r="M207" s="16">
        <v>149.99</v>
      </c>
      <c r="N207" s="1" t="s">
        <v>57</v>
      </c>
      <c r="O207" s="1" t="s">
        <v>40</v>
      </c>
      <c r="P207" s="1" t="str">
        <f>UPPER(LEFT(Table1[[#This Row],[Region]],2))</f>
        <v>NO</v>
      </c>
      <c r="Q207" s="1" t="s">
        <v>27</v>
      </c>
      <c r="R207" s="3">
        <v>44564</v>
      </c>
      <c r="S207" s="20">
        <v>449.97</v>
      </c>
      <c r="T207" s="23">
        <f t="shared" ca="1" si="9"/>
        <v>46057</v>
      </c>
      <c r="U207" s="26">
        <f t="shared" ca="1" si="10"/>
        <v>46057.595634259262</v>
      </c>
      <c r="V207" s="25">
        <f ca="1">DATEDIF(Table1[[#This Row],[Date]],TODAY(),"d")</f>
        <v>362</v>
      </c>
      <c r="W207" s="28">
        <f>EOMONTH(Table1[[#This Row],[Date]],0)</f>
        <v>45716</v>
      </c>
      <c r="X207" s="26">
        <f t="shared" ca="1" si="11"/>
        <v>46040.622929282406</v>
      </c>
    </row>
    <row r="208" spans="1:24" ht="15.75" thickBot="1" x14ac:dyDescent="0.3">
      <c r="A208" s="5" t="s">
        <v>353</v>
      </c>
      <c r="B208" s="3">
        <v>45695</v>
      </c>
      <c r="C208" s="12" t="str">
        <f>TEXT(Table1[[#This Row],[Date]],"mmm")</f>
        <v>Feb</v>
      </c>
      <c r="D208" s="12">
        <f>YEAR(Table1[[#This Row],[Date]])</f>
        <v>2025</v>
      </c>
      <c r="E208" s="3" t="str">
        <f>TEXT(Table1[[#This Row],[Date]],"mmm-yyyy")</f>
        <v>Feb-2025</v>
      </c>
      <c r="F208" s="1" t="s">
        <v>93</v>
      </c>
      <c r="G208" s="1" t="s">
        <v>94</v>
      </c>
      <c r="H208" s="1" t="str">
        <f>LEFT(Table1[[#This Row],[Customer_Name]],1)&amp;LEFT(MID(Table1[[#This Row],[Customer_Name]],FIND(" ",Table1[[#This Row],[Customer_Name]])+1,50),1)</f>
        <v>VS</v>
      </c>
      <c r="I208" s="1" t="s">
        <v>105</v>
      </c>
      <c r="J208" s="1" t="s">
        <v>106</v>
      </c>
      <c r="K208" s="1" t="s">
        <v>46</v>
      </c>
      <c r="L208" s="12">
        <v>5</v>
      </c>
      <c r="M208" s="16">
        <v>299.99</v>
      </c>
      <c r="N208" s="1" t="s">
        <v>26</v>
      </c>
      <c r="O208" s="1" t="s">
        <v>35</v>
      </c>
      <c r="P208" s="1" t="str">
        <f>UPPER(LEFT(Table1[[#This Row],[Region]],2))</f>
        <v>SO</v>
      </c>
      <c r="Q208" s="1" t="s">
        <v>22</v>
      </c>
      <c r="R208" s="3">
        <v>44959</v>
      </c>
      <c r="S208" s="20">
        <v>1499.95</v>
      </c>
      <c r="T208" s="23">
        <f t="shared" ca="1" si="9"/>
        <v>46057</v>
      </c>
      <c r="U208" s="26">
        <f t="shared" ca="1" si="10"/>
        <v>46057.595634259262</v>
      </c>
      <c r="V208" s="25">
        <f ca="1">DATEDIF(Table1[[#This Row],[Date]],TODAY(),"d")</f>
        <v>362</v>
      </c>
      <c r="W208" s="28">
        <f>EOMONTH(Table1[[#This Row],[Date]],0)</f>
        <v>45716</v>
      </c>
      <c r="X208" s="26">
        <f t="shared" ca="1" si="11"/>
        <v>46040.622929282406</v>
      </c>
    </row>
    <row r="209" spans="1:24" ht="15.75" thickBot="1" x14ac:dyDescent="0.3">
      <c r="A209" s="5" t="s">
        <v>354</v>
      </c>
      <c r="B209" s="3">
        <v>45696</v>
      </c>
      <c r="C209" s="12" t="str">
        <f>TEXT(Table1[[#This Row],[Date]],"mmm")</f>
        <v>Feb</v>
      </c>
      <c r="D209" s="12">
        <f>YEAR(Table1[[#This Row],[Date]])</f>
        <v>2025</v>
      </c>
      <c r="E209" s="3" t="str">
        <f>TEXT(Table1[[#This Row],[Date]],"mmm-yyyy")</f>
        <v>Feb-2025</v>
      </c>
      <c r="F209" s="1" t="s">
        <v>150</v>
      </c>
      <c r="G209" s="1" t="s">
        <v>151</v>
      </c>
      <c r="H209" s="1" t="str">
        <f>LEFT(Table1[[#This Row],[Customer_Name]],1)&amp;LEFT(MID(Table1[[#This Row],[Customer_Name]],FIND(" ",Table1[[#This Row],[Customer_Name]])+1,50),1)</f>
        <v>SB</v>
      </c>
      <c r="I209" s="1" t="s">
        <v>31</v>
      </c>
      <c r="J209" s="1" t="s">
        <v>32</v>
      </c>
      <c r="K209" s="1" t="s">
        <v>33</v>
      </c>
      <c r="L209" s="12">
        <v>5</v>
      </c>
      <c r="M209" s="16">
        <v>59.99</v>
      </c>
      <c r="N209" s="1" t="s">
        <v>57</v>
      </c>
      <c r="O209" s="1" t="s">
        <v>21</v>
      </c>
      <c r="P209" s="1" t="str">
        <f>UPPER(LEFT(Table1[[#This Row],[Region]],2))</f>
        <v>CE</v>
      </c>
      <c r="Q209" s="1" t="s">
        <v>36</v>
      </c>
      <c r="R209" s="3">
        <v>45177</v>
      </c>
      <c r="S209" s="20">
        <v>299.95</v>
      </c>
      <c r="T209" s="23">
        <f t="shared" ca="1" si="9"/>
        <v>46057</v>
      </c>
      <c r="U209" s="26">
        <f t="shared" ca="1" si="10"/>
        <v>46057.595634259262</v>
      </c>
      <c r="V209" s="25">
        <f ca="1">DATEDIF(Table1[[#This Row],[Date]],TODAY(),"d")</f>
        <v>361</v>
      </c>
      <c r="W209" s="28">
        <f>EOMONTH(Table1[[#This Row],[Date]],0)</f>
        <v>45716</v>
      </c>
      <c r="X209" s="26">
        <f t="shared" ca="1" si="11"/>
        <v>46040.622929282406</v>
      </c>
    </row>
    <row r="210" spans="1:24" ht="15.75" thickBot="1" x14ac:dyDescent="0.3">
      <c r="A210" s="5" t="s">
        <v>355</v>
      </c>
      <c r="B210" s="3">
        <v>45701</v>
      </c>
      <c r="C210" s="12" t="str">
        <f>TEXT(Table1[[#This Row],[Date]],"mmm")</f>
        <v>Feb</v>
      </c>
      <c r="D210" s="12">
        <f>YEAR(Table1[[#This Row],[Date]])</f>
        <v>2025</v>
      </c>
      <c r="E210" s="3" t="str">
        <f>TEXT(Table1[[#This Row],[Date]],"mmm-yyyy")</f>
        <v>Feb-2025</v>
      </c>
      <c r="F210" s="1" t="s">
        <v>108</v>
      </c>
      <c r="G210" s="1" t="s">
        <v>109</v>
      </c>
      <c r="H210" s="1" t="str">
        <f>LEFT(Table1[[#This Row],[Customer_Name]],1)&amp;LEFT(MID(Table1[[#This Row],[Customer_Name]],FIND(" ",Table1[[#This Row],[Customer_Name]])+1,50),1)</f>
        <v>NC</v>
      </c>
      <c r="I210" s="1" t="s">
        <v>114</v>
      </c>
      <c r="J210" s="1" t="s">
        <v>115</v>
      </c>
      <c r="K210" s="1" t="s">
        <v>33</v>
      </c>
      <c r="L210" s="12">
        <v>3</v>
      </c>
      <c r="M210" s="16">
        <v>79.989999999999995</v>
      </c>
      <c r="N210" s="1" t="s">
        <v>20</v>
      </c>
      <c r="O210" s="1" t="s">
        <v>63</v>
      </c>
      <c r="P210" s="1" t="str">
        <f>UPPER(LEFT(Table1[[#This Row],[Region]],2))</f>
        <v>EA</v>
      </c>
      <c r="Q210" s="1" t="s">
        <v>27</v>
      </c>
      <c r="R210" s="3">
        <v>44436</v>
      </c>
      <c r="S210" s="20">
        <v>239.97</v>
      </c>
      <c r="T210" s="23">
        <f t="shared" ca="1" si="9"/>
        <v>46057</v>
      </c>
      <c r="U210" s="26">
        <f t="shared" ca="1" si="10"/>
        <v>46057.595634259262</v>
      </c>
      <c r="V210" s="25">
        <f ca="1">DATEDIF(Table1[[#This Row],[Date]],TODAY(),"d")</f>
        <v>356</v>
      </c>
      <c r="W210" s="28">
        <f>EOMONTH(Table1[[#This Row],[Date]],0)</f>
        <v>45716</v>
      </c>
      <c r="X210" s="26">
        <f t="shared" ca="1" si="11"/>
        <v>46040.622929282406</v>
      </c>
    </row>
    <row r="211" spans="1:24" ht="15.75" thickBot="1" x14ac:dyDescent="0.3">
      <c r="A211" s="5" t="s">
        <v>356</v>
      </c>
      <c r="B211" s="3">
        <v>45704</v>
      </c>
      <c r="C211" s="12" t="str">
        <f>TEXT(Table1[[#This Row],[Date]],"mmm")</f>
        <v>Feb</v>
      </c>
      <c r="D211" s="12">
        <f>YEAR(Table1[[#This Row],[Date]])</f>
        <v>2025</v>
      </c>
      <c r="E211" s="3" t="str">
        <f>TEXT(Table1[[#This Row],[Date]],"mmm-yyyy")</f>
        <v>Feb-2025</v>
      </c>
      <c r="F211" s="1" t="s">
        <v>29</v>
      </c>
      <c r="G211" s="1" t="s">
        <v>30</v>
      </c>
      <c r="H211" s="1" t="str">
        <f>LEFT(Table1[[#This Row],[Customer_Name]],1)&amp;LEFT(MID(Table1[[#This Row],[Customer_Name]],FIND(" ",Table1[[#This Row],[Customer_Name]])+1,50),1)</f>
        <v>KS</v>
      </c>
      <c r="I211" s="1" t="s">
        <v>126</v>
      </c>
      <c r="J211" s="1" t="s">
        <v>127</v>
      </c>
      <c r="K211" s="1" t="s">
        <v>46</v>
      </c>
      <c r="L211" s="12">
        <v>3</v>
      </c>
      <c r="M211" s="16">
        <v>199.99</v>
      </c>
      <c r="N211" s="1" t="s">
        <v>20</v>
      </c>
      <c r="O211" s="1" t="s">
        <v>21</v>
      </c>
      <c r="P211" s="1" t="str">
        <f>UPPER(LEFT(Table1[[#This Row],[Region]],2))</f>
        <v>CE</v>
      </c>
      <c r="Q211" s="1" t="s">
        <v>22</v>
      </c>
      <c r="R211" s="3">
        <v>44735</v>
      </c>
      <c r="S211" s="20">
        <v>599.97</v>
      </c>
      <c r="T211" s="23">
        <f t="shared" ca="1" si="9"/>
        <v>46057</v>
      </c>
      <c r="U211" s="26">
        <f t="shared" ca="1" si="10"/>
        <v>46057.595634259262</v>
      </c>
      <c r="V211" s="25">
        <f ca="1">DATEDIF(Table1[[#This Row],[Date]],TODAY(),"d")</f>
        <v>353</v>
      </c>
      <c r="W211" s="28">
        <f>EOMONTH(Table1[[#This Row],[Date]],0)</f>
        <v>45716</v>
      </c>
      <c r="X211" s="26">
        <f t="shared" ca="1" si="11"/>
        <v>46040.622929282406</v>
      </c>
    </row>
    <row r="212" spans="1:24" ht="15.75" thickBot="1" x14ac:dyDescent="0.3">
      <c r="A212" s="5" t="s">
        <v>357</v>
      </c>
      <c r="B212" s="3">
        <v>45704</v>
      </c>
      <c r="C212" s="12" t="str">
        <f>TEXT(Table1[[#This Row],[Date]],"mmm")</f>
        <v>Feb</v>
      </c>
      <c r="D212" s="12">
        <f>YEAR(Table1[[#This Row],[Date]])</f>
        <v>2025</v>
      </c>
      <c r="E212" s="3" t="str">
        <f>TEXT(Table1[[#This Row],[Date]],"mmm-yyyy")</f>
        <v>Feb-2025</v>
      </c>
      <c r="F212" s="1" t="s">
        <v>15</v>
      </c>
      <c r="G212" s="1" t="s">
        <v>16</v>
      </c>
      <c r="H212" s="1" t="str">
        <f>LEFT(Table1[[#This Row],[Customer_Name]],1)&amp;LEFT(MID(Table1[[#This Row],[Customer_Name]],FIND(" ",Table1[[#This Row],[Customer_Name]])+1,50),1)</f>
        <v>PB</v>
      </c>
      <c r="I212" s="1" t="s">
        <v>117</v>
      </c>
      <c r="J212" s="1" t="s">
        <v>118</v>
      </c>
      <c r="K212" s="1" t="s">
        <v>19</v>
      </c>
      <c r="L212" s="12">
        <v>2</v>
      </c>
      <c r="M212" s="16">
        <v>89.99</v>
      </c>
      <c r="N212" s="1" t="s">
        <v>34</v>
      </c>
      <c r="O212" s="1" t="s">
        <v>21</v>
      </c>
      <c r="P212" s="1" t="str">
        <f>UPPER(LEFT(Table1[[#This Row],[Region]],2))</f>
        <v>CE</v>
      </c>
      <c r="Q212" s="1" t="s">
        <v>22</v>
      </c>
      <c r="R212" s="3">
        <v>45257</v>
      </c>
      <c r="S212" s="20">
        <v>179.98</v>
      </c>
      <c r="T212" s="23">
        <f t="shared" ca="1" si="9"/>
        <v>46057</v>
      </c>
      <c r="U212" s="26">
        <f t="shared" ca="1" si="10"/>
        <v>46057.595634259262</v>
      </c>
      <c r="V212" s="25">
        <f ca="1">DATEDIF(Table1[[#This Row],[Date]],TODAY(),"d")</f>
        <v>353</v>
      </c>
      <c r="W212" s="28">
        <f>EOMONTH(Table1[[#This Row],[Date]],0)</f>
        <v>45716</v>
      </c>
      <c r="X212" s="26">
        <f t="shared" ca="1" si="11"/>
        <v>46040.622929282406</v>
      </c>
    </row>
    <row r="213" spans="1:24" ht="15.75" thickBot="1" x14ac:dyDescent="0.3">
      <c r="A213" s="5" t="s">
        <v>358</v>
      </c>
      <c r="B213" s="3">
        <v>45705</v>
      </c>
      <c r="C213" s="12" t="str">
        <f>TEXT(Table1[[#This Row],[Date]],"mmm")</f>
        <v>Feb</v>
      </c>
      <c r="D213" s="12">
        <f>YEAR(Table1[[#This Row],[Date]])</f>
        <v>2025</v>
      </c>
      <c r="E213" s="3" t="str">
        <f>TEXT(Table1[[#This Row],[Date]],"mmm-yyyy")</f>
        <v>Feb-2025</v>
      </c>
      <c r="F213" s="1" t="s">
        <v>259</v>
      </c>
      <c r="G213" s="1" t="s">
        <v>260</v>
      </c>
      <c r="H213" s="1" t="str">
        <f>LEFT(Table1[[#This Row],[Customer_Name]],1)&amp;LEFT(MID(Table1[[#This Row],[Customer_Name]],FIND(" ",Table1[[#This Row],[Customer_Name]])+1,50),1)</f>
        <v>RL</v>
      </c>
      <c r="I213" s="1" t="s">
        <v>44</v>
      </c>
      <c r="J213" s="1" t="s">
        <v>45</v>
      </c>
      <c r="K213" s="1" t="s">
        <v>46</v>
      </c>
      <c r="L213" s="12">
        <v>2</v>
      </c>
      <c r="M213" s="16">
        <v>149.99</v>
      </c>
      <c r="N213" s="1" t="s">
        <v>20</v>
      </c>
      <c r="O213" s="1" t="s">
        <v>35</v>
      </c>
      <c r="P213" s="1" t="str">
        <f>UPPER(LEFT(Table1[[#This Row],[Region]],2))</f>
        <v>SO</v>
      </c>
      <c r="Q213" s="1" t="s">
        <v>27</v>
      </c>
      <c r="R213" s="3">
        <v>44728</v>
      </c>
      <c r="S213" s="20">
        <v>299.98</v>
      </c>
      <c r="T213" s="23">
        <f t="shared" ca="1" si="9"/>
        <v>46057</v>
      </c>
      <c r="U213" s="26">
        <f t="shared" ca="1" si="10"/>
        <v>46057.595634259262</v>
      </c>
      <c r="V213" s="25">
        <f ca="1">DATEDIF(Table1[[#This Row],[Date]],TODAY(),"d")</f>
        <v>352</v>
      </c>
      <c r="W213" s="28">
        <f>EOMONTH(Table1[[#This Row],[Date]],0)</f>
        <v>45716</v>
      </c>
      <c r="X213" s="26">
        <f t="shared" ca="1" si="11"/>
        <v>46040.622929282406</v>
      </c>
    </row>
    <row r="214" spans="1:24" ht="15.75" thickBot="1" x14ac:dyDescent="0.3">
      <c r="A214" s="5" t="s">
        <v>359</v>
      </c>
      <c r="B214" s="3">
        <v>45707</v>
      </c>
      <c r="C214" s="12" t="str">
        <f>TEXT(Table1[[#This Row],[Date]],"mmm")</f>
        <v>Feb</v>
      </c>
      <c r="D214" s="12">
        <f>YEAR(Table1[[#This Row],[Date]])</f>
        <v>2025</v>
      </c>
      <c r="E214" s="3" t="str">
        <f>TEXT(Table1[[#This Row],[Date]],"mmm-yyyy")</f>
        <v>Feb-2025</v>
      </c>
      <c r="F214" s="1" t="s">
        <v>123</v>
      </c>
      <c r="G214" s="1" t="s">
        <v>124</v>
      </c>
      <c r="H214" s="1" t="str">
        <f>LEFT(Table1[[#This Row],[Customer_Name]],1)&amp;LEFT(MID(Table1[[#This Row],[Customer_Name]],FIND(" ",Table1[[#This Row],[Customer_Name]])+1,50),1)</f>
        <v>EM</v>
      </c>
      <c r="I214" s="1" t="s">
        <v>80</v>
      </c>
      <c r="J214" s="1" t="s">
        <v>81</v>
      </c>
      <c r="K214" s="1" t="s">
        <v>19</v>
      </c>
      <c r="L214" s="12">
        <v>5</v>
      </c>
      <c r="M214" s="16">
        <v>699.99</v>
      </c>
      <c r="N214" s="1" t="s">
        <v>34</v>
      </c>
      <c r="O214" s="1" t="s">
        <v>35</v>
      </c>
      <c r="P214" s="1" t="str">
        <f>UPPER(LEFT(Table1[[#This Row],[Region]],2))</f>
        <v>SO</v>
      </c>
      <c r="Q214" s="1" t="s">
        <v>27</v>
      </c>
      <c r="R214" s="3">
        <v>45352</v>
      </c>
      <c r="S214" s="20">
        <v>3499.95</v>
      </c>
      <c r="T214" s="23">
        <f t="shared" ca="1" si="9"/>
        <v>46057</v>
      </c>
      <c r="U214" s="26">
        <f t="shared" ca="1" si="10"/>
        <v>46057.595634259262</v>
      </c>
      <c r="V214" s="25">
        <f ca="1">DATEDIF(Table1[[#This Row],[Date]],TODAY(),"d")</f>
        <v>350</v>
      </c>
      <c r="W214" s="28">
        <f>EOMONTH(Table1[[#This Row],[Date]],0)</f>
        <v>45716</v>
      </c>
      <c r="X214" s="26">
        <f t="shared" ca="1" si="11"/>
        <v>46040.622929282406</v>
      </c>
    </row>
    <row r="215" spans="1:24" ht="15.75" thickBot="1" x14ac:dyDescent="0.3">
      <c r="A215" s="5" t="s">
        <v>360</v>
      </c>
      <c r="B215" s="3">
        <v>45707</v>
      </c>
      <c r="C215" s="12" t="str">
        <f>TEXT(Table1[[#This Row],[Date]],"mmm")</f>
        <v>Feb</v>
      </c>
      <c r="D215" s="12">
        <f>YEAR(Table1[[#This Row],[Date]])</f>
        <v>2025</v>
      </c>
      <c r="E215" s="3" t="str">
        <f>TEXT(Table1[[#This Row],[Date]],"mmm-yyyy")</f>
        <v>Feb-2025</v>
      </c>
      <c r="F215" s="1" t="s">
        <v>42</v>
      </c>
      <c r="G215" s="1" t="s">
        <v>43</v>
      </c>
      <c r="H215" s="1" t="str">
        <f>LEFT(Table1[[#This Row],[Customer_Name]],1)&amp;LEFT(MID(Table1[[#This Row],[Customer_Name]],FIND(" ",Table1[[#This Row],[Customer_Name]])+1,50),1)</f>
        <v>MB</v>
      </c>
      <c r="I215" s="1" t="s">
        <v>44</v>
      </c>
      <c r="J215" s="1" t="s">
        <v>45</v>
      </c>
      <c r="K215" s="1" t="s">
        <v>46</v>
      </c>
      <c r="L215" s="12">
        <v>3</v>
      </c>
      <c r="M215" s="16">
        <v>149.99</v>
      </c>
      <c r="N215" s="1" t="s">
        <v>34</v>
      </c>
      <c r="O215" s="1" t="s">
        <v>21</v>
      </c>
      <c r="P215" s="1" t="str">
        <f>UPPER(LEFT(Table1[[#This Row],[Region]],2))</f>
        <v>CE</v>
      </c>
      <c r="Q215" s="1" t="s">
        <v>36</v>
      </c>
      <c r="R215" s="3">
        <v>44633</v>
      </c>
      <c r="S215" s="20">
        <v>449.97</v>
      </c>
      <c r="T215" s="23">
        <f t="shared" ca="1" si="9"/>
        <v>46057</v>
      </c>
      <c r="U215" s="26">
        <f t="shared" ca="1" si="10"/>
        <v>46057.595634259262</v>
      </c>
      <c r="V215" s="25">
        <f ca="1">DATEDIF(Table1[[#This Row],[Date]],TODAY(),"d")</f>
        <v>350</v>
      </c>
      <c r="W215" s="28">
        <f>EOMONTH(Table1[[#This Row],[Date]],0)</f>
        <v>45716</v>
      </c>
      <c r="X215" s="26">
        <f t="shared" ca="1" si="11"/>
        <v>46040.622929282406</v>
      </c>
    </row>
    <row r="216" spans="1:24" ht="15.75" thickBot="1" x14ac:dyDescent="0.3">
      <c r="A216" s="5" t="s">
        <v>361</v>
      </c>
      <c r="B216" s="3">
        <v>45708</v>
      </c>
      <c r="C216" s="12" t="str">
        <f>TEXT(Table1[[#This Row],[Date]],"mmm")</f>
        <v>Feb</v>
      </c>
      <c r="D216" s="12">
        <f>YEAR(Table1[[#This Row],[Date]])</f>
        <v>2025</v>
      </c>
      <c r="E216" s="3" t="str">
        <f>TEXT(Table1[[#This Row],[Date]],"mmm-yyyy")</f>
        <v>Feb-2025</v>
      </c>
      <c r="F216" s="1" t="s">
        <v>96</v>
      </c>
      <c r="G216" s="1" t="s">
        <v>97</v>
      </c>
      <c r="H216" s="1" t="str">
        <f>LEFT(Table1[[#This Row],[Customer_Name]],1)&amp;LEFT(MID(Table1[[#This Row],[Customer_Name]],FIND(" ",Table1[[#This Row],[Customer_Name]])+1,50),1)</f>
        <v>BY</v>
      </c>
      <c r="I216" s="1" t="s">
        <v>61</v>
      </c>
      <c r="J216" s="1" t="s">
        <v>62</v>
      </c>
      <c r="K216" s="1" t="s">
        <v>19</v>
      </c>
      <c r="L216" s="12">
        <v>3</v>
      </c>
      <c r="M216" s="16">
        <v>899.99</v>
      </c>
      <c r="N216" s="1" t="s">
        <v>20</v>
      </c>
      <c r="O216" s="1" t="s">
        <v>63</v>
      </c>
      <c r="P216" s="1" t="str">
        <f>UPPER(LEFT(Table1[[#This Row],[Region]],2))</f>
        <v>EA</v>
      </c>
      <c r="Q216" s="1" t="s">
        <v>36</v>
      </c>
      <c r="R216" s="3">
        <v>44613</v>
      </c>
      <c r="S216" s="20">
        <v>2699.97</v>
      </c>
      <c r="T216" s="23">
        <f t="shared" ca="1" si="9"/>
        <v>46057</v>
      </c>
      <c r="U216" s="26">
        <f t="shared" ca="1" si="10"/>
        <v>46057.595634259262</v>
      </c>
      <c r="V216" s="25">
        <f ca="1">DATEDIF(Table1[[#This Row],[Date]],TODAY(),"d")</f>
        <v>349</v>
      </c>
      <c r="W216" s="28">
        <f>EOMONTH(Table1[[#This Row],[Date]],0)</f>
        <v>45716</v>
      </c>
      <c r="X216" s="26">
        <f t="shared" ca="1" si="11"/>
        <v>46040.622929282406</v>
      </c>
    </row>
    <row r="217" spans="1:24" ht="15.75" thickBot="1" x14ac:dyDescent="0.3">
      <c r="A217" s="5" t="s">
        <v>362</v>
      </c>
      <c r="B217" s="3">
        <v>45708</v>
      </c>
      <c r="C217" s="12" t="str">
        <f>TEXT(Table1[[#This Row],[Date]],"mmm")</f>
        <v>Feb</v>
      </c>
      <c r="D217" s="12">
        <f>YEAR(Table1[[#This Row],[Date]])</f>
        <v>2025</v>
      </c>
      <c r="E217" s="3" t="str">
        <f>TEXT(Table1[[#This Row],[Date]],"mmm-yyyy")</f>
        <v>Feb-2025</v>
      </c>
      <c r="F217" s="1" t="s">
        <v>192</v>
      </c>
      <c r="G217" s="1" t="s">
        <v>193</v>
      </c>
      <c r="H217" s="1" t="str">
        <f>LEFT(Table1[[#This Row],[Customer_Name]],1)&amp;LEFT(MID(Table1[[#This Row],[Customer_Name]],FIND(" ",Table1[[#This Row],[Customer_Name]])+1,50),1)</f>
        <v>FT</v>
      </c>
      <c r="I217" s="1" t="s">
        <v>126</v>
      </c>
      <c r="J217" s="1" t="s">
        <v>127</v>
      </c>
      <c r="K217" s="1" t="s">
        <v>46</v>
      </c>
      <c r="L217" s="12">
        <v>3</v>
      </c>
      <c r="M217" s="16">
        <v>199.99</v>
      </c>
      <c r="N217" s="1" t="s">
        <v>20</v>
      </c>
      <c r="O217" s="1" t="s">
        <v>50</v>
      </c>
      <c r="P217" s="1" t="str">
        <f>UPPER(LEFT(Table1[[#This Row],[Region]],2))</f>
        <v>WE</v>
      </c>
      <c r="Q217" s="1" t="s">
        <v>27</v>
      </c>
      <c r="R217" s="3">
        <v>44823</v>
      </c>
      <c r="S217" s="20">
        <v>599.97</v>
      </c>
      <c r="T217" s="23">
        <f t="shared" ca="1" si="9"/>
        <v>46057</v>
      </c>
      <c r="U217" s="26">
        <f t="shared" ca="1" si="10"/>
        <v>46057.595634259262</v>
      </c>
      <c r="V217" s="25">
        <f ca="1">DATEDIF(Table1[[#This Row],[Date]],TODAY(),"d")</f>
        <v>349</v>
      </c>
      <c r="W217" s="28">
        <f>EOMONTH(Table1[[#This Row],[Date]],0)</f>
        <v>45716</v>
      </c>
      <c r="X217" s="26">
        <f t="shared" ca="1" si="11"/>
        <v>46040.622929282406</v>
      </c>
    </row>
    <row r="218" spans="1:24" ht="15.75" thickBot="1" x14ac:dyDescent="0.3">
      <c r="A218" s="5" t="s">
        <v>363</v>
      </c>
      <c r="B218" s="3">
        <v>45710</v>
      </c>
      <c r="C218" s="12" t="str">
        <f>TEXT(Table1[[#This Row],[Date]],"mmm")</f>
        <v>Feb</v>
      </c>
      <c r="D218" s="12">
        <f>YEAR(Table1[[#This Row],[Date]])</f>
        <v>2025</v>
      </c>
      <c r="E218" s="3" t="str">
        <f>TEXT(Table1[[#This Row],[Date]],"mmm-yyyy")</f>
        <v>Feb-2025</v>
      </c>
      <c r="F218" s="1" t="s">
        <v>55</v>
      </c>
      <c r="G218" s="1" t="s">
        <v>56</v>
      </c>
      <c r="H218" s="1" t="str">
        <f>LEFT(Table1[[#This Row],[Customer_Name]],1)&amp;LEFT(MID(Table1[[#This Row],[Customer_Name]],FIND(" ",Table1[[#This Row],[Customer_Name]])+1,50),1)</f>
        <v>CA</v>
      </c>
      <c r="I218" s="1" t="s">
        <v>105</v>
      </c>
      <c r="J218" s="1" t="s">
        <v>106</v>
      </c>
      <c r="K218" s="1" t="s">
        <v>46</v>
      </c>
      <c r="L218" s="12">
        <v>5</v>
      </c>
      <c r="M218" s="16">
        <v>299.99</v>
      </c>
      <c r="N218" s="1" t="s">
        <v>20</v>
      </c>
      <c r="O218" s="1" t="s">
        <v>50</v>
      </c>
      <c r="P218" s="1" t="str">
        <f>UPPER(LEFT(Table1[[#This Row],[Region]],2))</f>
        <v>WE</v>
      </c>
      <c r="Q218" s="1" t="s">
        <v>36</v>
      </c>
      <c r="R218" s="3">
        <v>45142</v>
      </c>
      <c r="S218" s="20">
        <v>1499.95</v>
      </c>
      <c r="T218" s="23">
        <f t="shared" ca="1" si="9"/>
        <v>46057</v>
      </c>
      <c r="U218" s="26">
        <f t="shared" ca="1" si="10"/>
        <v>46057.595634259262</v>
      </c>
      <c r="V218" s="25">
        <f ca="1">DATEDIF(Table1[[#This Row],[Date]],TODAY(),"d")</f>
        <v>347</v>
      </c>
      <c r="W218" s="28">
        <f>EOMONTH(Table1[[#This Row],[Date]],0)</f>
        <v>45716</v>
      </c>
      <c r="X218" s="26">
        <f t="shared" ca="1" si="11"/>
        <v>46040.622929282406</v>
      </c>
    </row>
    <row r="219" spans="1:24" ht="15.75" thickBot="1" x14ac:dyDescent="0.3">
      <c r="A219" s="5" t="s">
        <v>364</v>
      </c>
      <c r="B219" s="3">
        <v>45710</v>
      </c>
      <c r="C219" s="12" t="str">
        <f>TEXT(Table1[[#This Row],[Date]],"mmm")</f>
        <v>Feb</v>
      </c>
      <c r="D219" s="12">
        <f>YEAR(Table1[[#This Row],[Date]])</f>
        <v>2025</v>
      </c>
      <c r="E219" s="3" t="str">
        <f>TEXT(Table1[[#This Row],[Date]],"mmm-yyyy")</f>
        <v>Feb-2025</v>
      </c>
      <c r="F219" s="1" t="s">
        <v>150</v>
      </c>
      <c r="G219" s="1" t="s">
        <v>151</v>
      </c>
      <c r="H219" s="1" t="str">
        <f>LEFT(Table1[[#This Row],[Customer_Name]],1)&amp;LEFT(MID(Table1[[#This Row],[Customer_Name]],FIND(" ",Table1[[#This Row],[Customer_Name]])+1,50),1)</f>
        <v>SB</v>
      </c>
      <c r="I219" s="1" t="s">
        <v>80</v>
      </c>
      <c r="J219" s="1" t="s">
        <v>81</v>
      </c>
      <c r="K219" s="1" t="s">
        <v>19</v>
      </c>
      <c r="L219" s="12">
        <v>1</v>
      </c>
      <c r="M219" s="16">
        <v>699.99</v>
      </c>
      <c r="N219" s="1" t="s">
        <v>34</v>
      </c>
      <c r="O219" s="1" t="s">
        <v>50</v>
      </c>
      <c r="P219" s="1" t="str">
        <f>UPPER(LEFT(Table1[[#This Row],[Region]],2))</f>
        <v>WE</v>
      </c>
      <c r="Q219" s="1" t="s">
        <v>22</v>
      </c>
      <c r="R219" s="3">
        <v>44934</v>
      </c>
      <c r="S219" s="20">
        <v>699.99</v>
      </c>
      <c r="T219" s="23">
        <f t="shared" ca="1" si="9"/>
        <v>46057</v>
      </c>
      <c r="U219" s="26">
        <f t="shared" ca="1" si="10"/>
        <v>46057.595634259262</v>
      </c>
      <c r="V219" s="25">
        <f ca="1">DATEDIF(Table1[[#This Row],[Date]],TODAY(),"d")</f>
        <v>347</v>
      </c>
      <c r="W219" s="28">
        <f>EOMONTH(Table1[[#This Row],[Date]],0)</f>
        <v>45716</v>
      </c>
      <c r="X219" s="26">
        <f t="shared" ca="1" si="11"/>
        <v>46040.622929282406</v>
      </c>
    </row>
    <row r="220" spans="1:24" ht="15.75" thickBot="1" x14ac:dyDescent="0.3">
      <c r="A220" s="5" t="s">
        <v>365</v>
      </c>
      <c r="B220" s="3">
        <v>45711</v>
      </c>
      <c r="C220" s="12" t="str">
        <f>TEXT(Table1[[#This Row],[Date]],"mmm")</f>
        <v>Feb</v>
      </c>
      <c r="D220" s="12">
        <f>YEAR(Table1[[#This Row],[Date]])</f>
        <v>2025</v>
      </c>
      <c r="E220" s="3" t="str">
        <f>TEXT(Table1[[#This Row],[Date]],"mmm-yyyy")</f>
        <v>Feb-2025</v>
      </c>
      <c r="F220" s="1" t="s">
        <v>246</v>
      </c>
      <c r="G220" s="1" t="s">
        <v>247</v>
      </c>
      <c r="H220" s="1" t="str">
        <f>LEFT(Table1[[#This Row],[Customer_Name]],1)&amp;LEFT(MID(Table1[[#This Row],[Customer_Name]],FIND(" ",Table1[[#This Row],[Customer_Name]])+1,50),1)</f>
        <v>RB</v>
      </c>
      <c r="I220" s="1" t="s">
        <v>80</v>
      </c>
      <c r="J220" s="1" t="s">
        <v>81</v>
      </c>
      <c r="K220" s="1" t="s">
        <v>19</v>
      </c>
      <c r="L220" s="12">
        <v>1</v>
      </c>
      <c r="M220" s="16">
        <v>699.99</v>
      </c>
      <c r="N220" s="1" t="s">
        <v>20</v>
      </c>
      <c r="O220" s="1" t="s">
        <v>40</v>
      </c>
      <c r="P220" s="1" t="str">
        <f>UPPER(LEFT(Table1[[#This Row],[Region]],2))</f>
        <v>NO</v>
      </c>
      <c r="Q220" s="1" t="s">
        <v>27</v>
      </c>
      <c r="R220" s="3">
        <v>44583</v>
      </c>
      <c r="S220" s="20">
        <v>699.99</v>
      </c>
      <c r="T220" s="23">
        <f t="shared" ca="1" si="9"/>
        <v>46057</v>
      </c>
      <c r="U220" s="26">
        <f t="shared" ca="1" si="10"/>
        <v>46057.595634259262</v>
      </c>
      <c r="V220" s="25">
        <f ca="1">DATEDIF(Table1[[#This Row],[Date]],TODAY(),"d")</f>
        <v>346</v>
      </c>
      <c r="W220" s="28">
        <f>EOMONTH(Table1[[#This Row],[Date]],0)</f>
        <v>45716</v>
      </c>
      <c r="X220" s="26">
        <f t="shared" ca="1" si="11"/>
        <v>46040.622929282406</v>
      </c>
    </row>
    <row r="221" spans="1:24" ht="15.75" thickBot="1" x14ac:dyDescent="0.3">
      <c r="A221" s="5" t="s">
        <v>366</v>
      </c>
      <c r="B221" s="3">
        <v>45711</v>
      </c>
      <c r="C221" s="12" t="str">
        <f>TEXT(Table1[[#This Row],[Date]],"mmm")</f>
        <v>Feb</v>
      </c>
      <c r="D221" s="12">
        <f>YEAR(Table1[[#This Row],[Date]])</f>
        <v>2025</v>
      </c>
      <c r="E221" s="3" t="str">
        <f>TEXT(Table1[[#This Row],[Date]],"mmm-yyyy")</f>
        <v>Feb-2025</v>
      </c>
      <c r="F221" s="1" t="s">
        <v>325</v>
      </c>
      <c r="G221" s="1" t="s">
        <v>326</v>
      </c>
      <c r="H221" s="1" t="str">
        <f>LEFT(Table1[[#This Row],[Customer_Name]],1)&amp;LEFT(MID(Table1[[#This Row],[Customer_Name]],FIND(" ",Table1[[#This Row],[Customer_Name]])+1,50),1)</f>
        <v>AE</v>
      </c>
      <c r="I221" s="1" t="s">
        <v>44</v>
      </c>
      <c r="J221" s="1" t="s">
        <v>45</v>
      </c>
      <c r="K221" s="1" t="s">
        <v>46</v>
      </c>
      <c r="L221" s="12">
        <v>4</v>
      </c>
      <c r="M221" s="16">
        <v>149.99</v>
      </c>
      <c r="N221" s="1" t="s">
        <v>34</v>
      </c>
      <c r="O221" s="1" t="s">
        <v>40</v>
      </c>
      <c r="P221" s="1" t="str">
        <f>UPPER(LEFT(Table1[[#This Row],[Region]],2))</f>
        <v>NO</v>
      </c>
      <c r="Q221" s="1" t="s">
        <v>27</v>
      </c>
      <c r="R221" s="3">
        <v>44412</v>
      </c>
      <c r="S221" s="20">
        <v>599.96</v>
      </c>
      <c r="T221" s="23">
        <f t="shared" ca="1" si="9"/>
        <v>46057</v>
      </c>
      <c r="U221" s="26">
        <f t="shared" ca="1" si="10"/>
        <v>46057.595634259262</v>
      </c>
      <c r="V221" s="25">
        <f ca="1">DATEDIF(Table1[[#This Row],[Date]],TODAY(),"d")</f>
        <v>346</v>
      </c>
      <c r="W221" s="28">
        <f>EOMONTH(Table1[[#This Row],[Date]],0)</f>
        <v>45716</v>
      </c>
      <c r="X221" s="26">
        <f t="shared" ca="1" si="11"/>
        <v>46040.622929282406</v>
      </c>
    </row>
    <row r="222" spans="1:24" ht="15.75" thickBot="1" x14ac:dyDescent="0.3">
      <c r="A222" s="5" t="s">
        <v>367</v>
      </c>
      <c r="B222" s="3">
        <v>45711</v>
      </c>
      <c r="C222" s="12" t="str">
        <f>TEXT(Table1[[#This Row],[Date]],"mmm")</f>
        <v>Feb</v>
      </c>
      <c r="D222" s="12">
        <f>YEAR(Table1[[#This Row],[Date]])</f>
        <v>2025</v>
      </c>
      <c r="E222" s="3" t="str">
        <f>TEXT(Table1[[#This Row],[Date]],"mmm-yyyy")</f>
        <v>Feb-2025</v>
      </c>
      <c r="F222" s="1" t="s">
        <v>211</v>
      </c>
      <c r="G222" s="1" t="s">
        <v>212</v>
      </c>
      <c r="H222" s="1" t="str">
        <f>LEFT(Table1[[#This Row],[Customer_Name]],1)&amp;LEFT(MID(Table1[[#This Row],[Customer_Name]],FIND(" ",Table1[[#This Row],[Customer_Name]])+1,50),1)</f>
        <v>EH</v>
      </c>
      <c r="I222" s="1" t="s">
        <v>117</v>
      </c>
      <c r="J222" s="1" t="s">
        <v>118</v>
      </c>
      <c r="K222" s="1" t="s">
        <v>19</v>
      </c>
      <c r="L222" s="12">
        <v>5</v>
      </c>
      <c r="M222" s="16">
        <v>89.99</v>
      </c>
      <c r="N222" s="1" t="s">
        <v>34</v>
      </c>
      <c r="O222" s="1" t="s">
        <v>50</v>
      </c>
      <c r="P222" s="1" t="str">
        <f>UPPER(LEFT(Table1[[#This Row],[Region]],2))</f>
        <v>WE</v>
      </c>
      <c r="Q222" s="1" t="s">
        <v>27</v>
      </c>
      <c r="R222" s="3">
        <v>45140</v>
      </c>
      <c r="S222" s="20">
        <v>449.95</v>
      </c>
      <c r="T222" s="23">
        <f t="shared" ca="1" si="9"/>
        <v>46057</v>
      </c>
      <c r="U222" s="26">
        <f t="shared" ca="1" si="10"/>
        <v>46057.595634259262</v>
      </c>
      <c r="V222" s="25">
        <f ca="1">DATEDIF(Table1[[#This Row],[Date]],TODAY(),"d")</f>
        <v>346</v>
      </c>
      <c r="W222" s="28">
        <f>EOMONTH(Table1[[#This Row],[Date]],0)</f>
        <v>45716</v>
      </c>
      <c r="X222" s="26">
        <f t="shared" ca="1" si="11"/>
        <v>46040.622929282406</v>
      </c>
    </row>
    <row r="223" spans="1:24" ht="15.75" thickBot="1" x14ac:dyDescent="0.3">
      <c r="A223" s="5" t="s">
        <v>368</v>
      </c>
      <c r="B223" s="3">
        <v>45712</v>
      </c>
      <c r="C223" s="12" t="str">
        <f>TEXT(Table1[[#This Row],[Date]],"mmm")</f>
        <v>Feb</v>
      </c>
      <c r="D223" s="12">
        <f>YEAR(Table1[[#This Row],[Date]])</f>
        <v>2025</v>
      </c>
      <c r="E223" s="3" t="str">
        <f>TEXT(Table1[[#This Row],[Date]],"mmm-yyyy")</f>
        <v>Feb-2025</v>
      </c>
      <c r="F223" s="1" t="s">
        <v>138</v>
      </c>
      <c r="G223" s="1" t="s">
        <v>139</v>
      </c>
      <c r="H223" s="1" t="str">
        <f>LEFT(Table1[[#This Row],[Customer_Name]],1)&amp;LEFT(MID(Table1[[#This Row],[Customer_Name]],FIND(" ",Table1[[#This Row],[Customer_Name]])+1,50),1)</f>
        <v>ST</v>
      </c>
      <c r="I223" s="1" t="s">
        <v>126</v>
      </c>
      <c r="J223" s="1" t="s">
        <v>127</v>
      </c>
      <c r="K223" s="1" t="s">
        <v>46</v>
      </c>
      <c r="L223" s="12">
        <v>2</v>
      </c>
      <c r="M223" s="16">
        <v>199.99</v>
      </c>
      <c r="N223" s="1" t="s">
        <v>20</v>
      </c>
      <c r="O223" s="1" t="s">
        <v>21</v>
      </c>
      <c r="P223" s="1" t="str">
        <f>UPPER(LEFT(Table1[[#This Row],[Region]],2))</f>
        <v>CE</v>
      </c>
      <c r="Q223" s="1" t="s">
        <v>27</v>
      </c>
      <c r="R223" s="3">
        <v>44573</v>
      </c>
      <c r="S223" s="20">
        <v>399.98</v>
      </c>
      <c r="T223" s="23">
        <f t="shared" ca="1" si="9"/>
        <v>46057</v>
      </c>
      <c r="U223" s="26">
        <f t="shared" ca="1" si="10"/>
        <v>46057.595634259262</v>
      </c>
      <c r="V223" s="25">
        <f ca="1">DATEDIF(Table1[[#This Row],[Date]],TODAY(),"d")</f>
        <v>345</v>
      </c>
      <c r="W223" s="28">
        <f>EOMONTH(Table1[[#This Row],[Date]],0)</f>
        <v>45716</v>
      </c>
      <c r="X223" s="26">
        <f t="shared" ca="1" si="11"/>
        <v>46040.622929282406</v>
      </c>
    </row>
    <row r="224" spans="1:24" ht="15.75" thickBot="1" x14ac:dyDescent="0.3">
      <c r="A224" s="5" t="s">
        <v>369</v>
      </c>
      <c r="B224" s="3">
        <v>45715</v>
      </c>
      <c r="C224" s="12" t="str">
        <f>TEXT(Table1[[#This Row],[Date]],"mmm")</f>
        <v>Feb</v>
      </c>
      <c r="D224" s="12">
        <f>YEAR(Table1[[#This Row],[Date]])</f>
        <v>2025</v>
      </c>
      <c r="E224" s="3" t="str">
        <f>TEXT(Table1[[#This Row],[Date]],"mmm-yyyy")</f>
        <v>Feb-2025</v>
      </c>
      <c r="F224" s="1" t="s">
        <v>259</v>
      </c>
      <c r="G224" s="1" t="s">
        <v>260</v>
      </c>
      <c r="H224" s="1" t="str">
        <f>LEFT(Table1[[#This Row],[Customer_Name]],1)&amp;LEFT(MID(Table1[[#This Row],[Customer_Name]],FIND(" ",Table1[[#This Row],[Customer_Name]])+1,50),1)</f>
        <v>RL</v>
      </c>
      <c r="I224" s="1" t="s">
        <v>31</v>
      </c>
      <c r="J224" s="1" t="s">
        <v>32</v>
      </c>
      <c r="K224" s="1" t="s">
        <v>33</v>
      </c>
      <c r="L224" s="12">
        <v>4</v>
      </c>
      <c r="M224" s="16">
        <v>59.99</v>
      </c>
      <c r="N224" s="1" t="s">
        <v>20</v>
      </c>
      <c r="O224" s="1" t="s">
        <v>50</v>
      </c>
      <c r="P224" s="1" t="str">
        <f>UPPER(LEFT(Table1[[#This Row],[Region]],2))</f>
        <v>WE</v>
      </c>
      <c r="Q224" s="1" t="s">
        <v>36</v>
      </c>
      <c r="R224" s="3">
        <v>45070</v>
      </c>
      <c r="S224" s="20">
        <v>239.96</v>
      </c>
      <c r="T224" s="23">
        <f t="shared" ca="1" si="9"/>
        <v>46057</v>
      </c>
      <c r="U224" s="26">
        <f t="shared" ca="1" si="10"/>
        <v>46057.595634259262</v>
      </c>
      <c r="V224" s="25">
        <f ca="1">DATEDIF(Table1[[#This Row],[Date]],TODAY(),"d")</f>
        <v>342</v>
      </c>
      <c r="W224" s="28">
        <f>EOMONTH(Table1[[#This Row],[Date]],0)</f>
        <v>45716</v>
      </c>
      <c r="X224" s="26">
        <f t="shared" ca="1" si="11"/>
        <v>46040.622929282406</v>
      </c>
    </row>
    <row r="225" spans="1:24" ht="15.75" thickBot="1" x14ac:dyDescent="0.3">
      <c r="A225" s="5" t="s">
        <v>370</v>
      </c>
      <c r="B225" s="3">
        <v>45715</v>
      </c>
      <c r="C225" s="12" t="str">
        <f>TEXT(Table1[[#This Row],[Date]],"mmm")</f>
        <v>Feb</v>
      </c>
      <c r="D225" s="12">
        <f>YEAR(Table1[[#This Row],[Date]])</f>
        <v>2025</v>
      </c>
      <c r="E225" s="3" t="str">
        <f>TEXT(Table1[[#This Row],[Date]],"mmm-yyyy")</f>
        <v>Feb-2025</v>
      </c>
      <c r="F225" s="1" t="s">
        <v>93</v>
      </c>
      <c r="G225" s="1" t="s">
        <v>94</v>
      </c>
      <c r="H225" s="1" t="str">
        <f>LEFT(Table1[[#This Row],[Customer_Name]],1)&amp;LEFT(MID(Table1[[#This Row],[Customer_Name]],FIND(" ",Table1[[#This Row],[Customer_Name]])+1,50),1)</f>
        <v>VS</v>
      </c>
      <c r="I225" s="1" t="s">
        <v>105</v>
      </c>
      <c r="J225" s="1" t="s">
        <v>106</v>
      </c>
      <c r="K225" s="1" t="s">
        <v>46</v>
      </c>
      <c r="L225" s="12">
        <v>2</v>
      </c>
      <c r="M225" s="16">
        <v>299.99</v>
      </c>
      <c r="N225" s="1" t="s">
        <v>34</v>
      </c>
      <c r="O225" s="1" t="s">
        <v>35</v>
      </c>
      <c r="P225" s="1" t="str">
        <f>UPPER(LEFT(Table1[[#This Row],[Region]],2))</f>
        <v>SO</v>
      </c>
      <c r="Q225" s="1" t="s">
        <v>22</v>
      </c>
      <c r="R225" s="3">
        <v>44576</v>
      </c>
      <c r="S225" s="20">
        <v>599.98</v>
      </c>
      <c r="T225" s="23">
        <f t="shared" ca="1" si="9"/>
        <v>46057</v>
      </c>
      <c r="U225" s="26">
        <f t="shared" ca="1" si="10"/>
        <v>46057.595634259262</v>
      </c>
      <c r="V225" s="25">
        <f ca="1">DATEDIF(Table1[[#This Row],[Date]],TODAY(),"d")</f>
        <v>342</v>
      </c>
      <c r="W225" s="28">
        <f>EOMONTH(Table1[[#This Row],[Date]],0)</f>
        <v>45716</v>
      </c>
      <c r="X225" s="26">
        <f t="shared" ca="1" si="11"/>
        <v>46040.622929282406</v>
      </c>
    </row>
    <row r="226" spans="1:24" ht="15.75" thickBot="1" x14ac:dyDescent="0.3">
      <c r="A226" s="5" t="s">
        <v>371</v>
      </c>
      <c r="B226" s="3">
        <v>45718</v>
      </c>
      <c r="C226" s="12" t="str">
        <f>TEXT(Table1[[#This Row],[Date]],"mmm")</f>
        <v>Mar</v>
      </c>
      <c r="D226" s="12">
        <f>YEAR(Table1[[#This Row],[Date]])</f>
        <v>2025</v>
      </c>
      <c r="E226" s="3" t="str">
        <f>TEXT(Table1[[#This Row],[Date]],"mmm-yyyy")</f>
        <v>Mar-2025</v>
      </c>
      <c r="F226" s="1" t="s">
        <v>55</v>
      </c>
      <c r="G226" s="1" t="s">
        <v>56</v>
      </c>
      <c r="H226" s="1" t="str">
        <f>LEFT(Table1[[#This Row],[Customer_Name]],1)&amp;LEFT(MID(Table1[[#This Row],[Customer_Name]],FIND(" ",Table1[[#This Row],[Customer_Name]])+1,50),1)</f>
        <v>CA</v>
      </c>
      <c r="I226" s="1" t="s">
        <v>44</v>
      </c>
      <c r="J226" s="1" t="s">
        <v>45</v>
      </c>
      <c r="K226" s="1" t="s">
        <v>46</v>
      </c>
      <c r="L226" s="12">
        <v>2</v>
      </c>
      <c r="M226" s="16">
        <v>149.99</v>
      </c>
      <c r="N226" s="1" t="s">
        <v>20</v>
      </c>
      <c r="O226" s="1" t="s">
        <v>21</v>
      </c>
      <c r="P226" s="1" t="str">
        <f>UPPER(LEFT(Table1[[#This Row],[Region]],2))</f>
        <v>CE</v>
      </c>
      <c r="Q226" s="1" t="s">
        <v>22</v>
      </c>
      <c r="R226" s="3">
        <v>45068</v>
      </c>
      <c r="S226" s="20">
        <v>299.98</v>
      </c>
      <c r="T226" s="23">
        <f t="shared" ca="1" si="9"/>
        <v>46057</v>
      </c>
      <c r="U226" s="26">
        <f t="shared" ca="1" si="10"/>
        <v>46057.595634259262</v>
      </c>
      <c r="V226" s="25">
        <f ca="1">DATEDIF(Table1[[#This Row],[Date]],TODAY(),"d")</f>
        <v>339</v>
      </c>
      <c r="W226" s="28">
        <f>EOMONTH(Table1[[#This Row],[Date]],0)</f>
        <v>45747</v>
      </c>
      <c r="X226" s="26">
        <f t="shared" ca="1" si="11"/>
        <v>46040.622929282406</v>
      </c>
    </row>
    <row r="227" spans="1:24" ht="15.75" thickBot="1" x14ac:dyDescent="0.3">
      <c r="A227" s="5" t="s">
        <v>372</v>
      </c>
      <c r="B227" s="3">
        <v>45720</v>
      </c>
      <c r="C227" s="12" t="str">
        <f>TEXT(Table1[[#This Row],[Date]],"mmm")</f>
        <v>Mar</v>
      </c>
      <c r="D227" s="12">
        <f>YEAR(Table1[[#This Row],[Date]])</f>
        <v>2025</v>
      </c>
      <c r="E227" s="3" t="str">
        <f>TEXT(Table1[[#This Row],[Date]],"mmm-yyyy")</f>
        <v>Mar-2025</v>
      </c>
      <c r="F227" s="1" t="s">
        <v>226</v>
      </c>
      <c r="G227" s="1" t="s">
        <v>227</v>
      </c>
      <c r="H227" s="1" t="str">
        <f>LEFT(Table1[[#This Row],[Customer_Name]],1)&amp;LEFT(MID(Table1[[#This Row],[Customer_Name]],FIND(" ",Table1[[#This Row],[Customer_Name]])+1,50),1)</f>
        <v>LR</v>
      </c>
      <c r="I227" s="1" t="s">
        <v>80</v>
      </c>
      <c r="J227" s="1" t="s">
        <v>81</v>
      </c>
      <c r="K227" s="1" t="s">
        <v>19</v>
      </c>
      <c r="L227" s="12">
        <v>5</v>
      </c>
      <c r="M227" s="16">
        <v>699.99</v>
      </c>
      <c r="N227" s="1" t="s">
        <v>57</v>
      </c>
      <c r="O227" s="1" t="s">
        <v>63</v>
      </c>
      <c r="P227" s="1" t="str">
        <f>UPPER(LEFT(Table1[[#This Row],[Region]],2))</f>
        <v>EA</v>
      </c>
      <c r="Q227" s="1" t="s">
        <v>27</v>
      </c>
      <c r="R227" s="3">
        <v>45161</v>
      </c>
      <c r="S227" s="20">
        <v>3499.95</v>
      </c>
      <c r="T227" s="23">
        <f t="shared" ca="1" si="9"/>
        <v>46057</v>
      </c>
      <c r="U227" s="26">
        <f t="shared" ca="1" si="10"/>
        <v>46057.595634259262</v>
      </c>
      <c r="V227" s="25">
        <f ca="1">DATEDIF(Table1[[#This Row],[Date]],TODAY(),"d")</f>
        <v>337</v>
      </c>
      <c r="W227" s="28">
        <f>EOMONTH(Table1[[#This Row],[Date]],0)</f>
        <v>45747</v>
      </c>
      <c r="X227" s="26">
        <f t="shared" ca="1" si="11"/>
        <v>46040.622929282406</v>
      </c>
    </row>
    <row r="228" spans="1:24" ht="15.75" thickBot="1" x14ac:dyDescent="0.3">
      <c r="A228" s="5" t="s">
        <v>373</v>
      </c>
      <c r="B228" s="3">
        <v>45721</v>
      </c>
      <c r="C228" s="12" t="str">
        <f>TEXT(Table1[[#This Row],[Date]],"mmm")</f>
        <v>Mar</v>
      </c>
      <c r="D228" s="12">
        <f>YEAR(Table1[[#This Row],[Date]])</f>
        <v>2025</v>
      </c>
      <c r="E228" s="3" t="str">
        <f>TEXT(Table1[[#This Row],[Date]],"mmm-yyyy")</f>
        <v>Mar-2025</v>
      </c>
      <c r="F228" s="1" t="s">
        <v>75</v>
      </c>
      <c r="G228" s="1" t="s">
        <v>76</v>
      </c>
      <c r="H228" s="1" t="str">
        <f>LEFT(Table1[[#This Row],[Customer_Name]],1)&amp;LEFT(MID(Table1[[#This Row],[Customer_Name]],FIND(" ",Table1[[#This Row],[Customer_Name]])+1,50),1)</f>
        <v>DG</v>
      </c>
      <c r="I228" s="1" t="s">
        <v>31</v>
      </c>
      <c r="J228" s="1" t="s">
        <v>32</v>
      </c>
      <c r="K228" s="1" t="s">
        <v>33</v>
      </c>
      <c r="L228" s="12">
        <v>5</v>
      </c>
      <c r="M228" s="16">
        <v>59.99</v>
      </c>
      <c r="N228" s="1" t="s">
        <v>20</v>
      </c>
      <c r="O228" s="1" t="s">
        <v>50</v>
      </c>
      <c r="P228" s="1" t="str">
        <f>UPPER(LEFT(Table1[[#This Row],[Region]],2))</f>
        <v>WE</v>
      </c>
      <c r="Q228" s="1" t="s">
        <v>27</v>
      </c>
      <c r="R228" s="3">
        <v>45291</v>
      </c>
      <c r="S228" s="20">
        <v>299.95</v>
      </c>
      <c r="T228" s="23">
        <f t="shared" ca="1" si="9"/>
        <v>46057</v>
      </c>
      <c r="U228" s="26">
        <f t="shared" ca="1" si="10"/>
        <v>46057.595634259262</v>
      </c>
      <c r="V228" s="25">
        <f ca="1">DATEDIF(Table1[[#This Row],[Date]],TODAY(),"d")</f>
        <v>336</v>
      </c>
      <c r="W228" s="28">
        <f>EOMONTH(Table1[[#This Row],[Date]],0)</f>
        <v>45747</v>
      </c>
      <c r="X228" s="26">
        <f t="shared" ca="1" si="11"/>
        <v>46040.622929282406</v>
      </c>
    </row>
    <row r="229" spans="1:24" ht="15.75" thickBot="1" x14ac:dyDescent="0.3">
      <c r="A229" s="5" t="s">
        <v>374</v>
      </c>
      <c r="B229" s="3">
        <v>45723</v>
      </c>
      <c r="C229" s="12" t="str">
        <f>TEXT(Table1[[#This Row],[Date]],"mmm")</f>
        <v>Mar</v>
      </c>
      <c r="D229" s="12">
        <f>YEAR(Table1[[#This Row],[Date]])</f>
        <v>2025</v>
      </c>
      <c r="E229" s="3" t="str">
        <f>TEXT(Table1[[#This Row],[Date]],"mmm-yyyy")</f>
        <v>Mar-2025</v>
      </c>
      <c r="F229" s="1" t="s">
        <v>15</v>
      </c>
      <c r="G229" s="1" t="s">
        <v>16</v>
      </c>
      <c r="H229" s="1" t="str">
        <f>LEFT(Table1[[#This Row],[Customer_Name]],1)&amp;LEFT(MID(Table1[[#This Row],[Customer_Name]],FIND(" ",Table1[[#This Row],[Customer_Name]])+1,50),1)</f>
        <v>PB</v>
      </c>
      <c r="I229" s="1" t="s">
        <v>117</v>
      </c>
      <c r="J229" s="1" t="s">
        <v>118</v>
      </c>
      <c r="K229" s="1" t="s">
        <v>19</v>
      </c>
      <c r="L229" s="12">
        <v>2</v>
      </c>
      <c r="M229" s="16">
        <v>89.99</v>
      </c>
      <c r="N229" s="1" t="s">
        <v>26</v>
      </c>
      <c r="O229" s="1" t="s">
        <v>50</v>
      </c>
      <c r="P229" s="1" t="str">
        <f>UPPER(LEFT(Table1[[#This Row],[Region]],2))</f>
        <v>WE</v>
      </c>
      <c r="Q229" s="1" t="s">
        <v>27</v>
      </c>
      <c r="R229" s="3">
        <v>45295</v>
      </c>
      <c r="S229" s="20">
        <v>179.98</v>
      </c>
      <c r="T229" s="23">
        <f t="shared" ca="1" si="9"/>
        <v>46057</v>
      </c>
      <c r="U229" s="26">
        <f t="shared" ca="1" si="10"/>
        <v>46057.595634259262</v>
      </c>
      <c r="V229" s="25">
        <f ca="1">DATEDIF(Table1[[#This Row],[Date]],TODAY(),"d")</f>
        <v>334</v>
      </c>
      <c r="W229" s="28">
        <f>EOMONTH(Table1[[#This Row],[Date]],0)</f>
        <v>45747</v>
      </c>
      <c r="X229" s="26">
        <f t="shared" ca="1" si="11"/>
        <v>46040.622929282406</v>
      </c>
    </row>
    <row r="230" spans="1:24" ht="15.75" thickBot="1" x14ac:dyDescent="0.3">
      <c r="A230" s="5" t="s">
        <v>375</v>
      </c>
      <c r="B230" s="3">
        <v>45723</v>
      </c>
      <c r="C230" s="12" t="str">
        <f>TEXT(Table1[[#This Row],[Date]],"mmm")</f>
        <v>Mar</v>
      </c>
      <c r="D230" s="12">
        <f>YEAR(Table1[[#This Row],[Date]])</f>
        <v>2025</v>
      </c>
      <c r="E230" s="3" t="str">
        <f>TEXT(Table1[[#This Row],[Date]],"mmm-yyyy")</f>
        <v>Mar-2025</v>
      </c>
      <c r="F230" s="1" t="s">
        <v>120</v>
      </c>
      <c r="G230" s="1" t="s">
        <v>121</v>
      </c>
      <c r="H230" s="1" t="str">
        <f>LEFT(Table1[[#This Row],[Customer_Name]],1)&amp;LEFT(MID(Table1[[#This Row],[Customer_Name]],FIND(" ",Table1[[#This Row],[Customer_Name]])+1,50),1)</f>
        <v>HR</v>
      </c>
      <c r="I230" s="1" t="s">
        <v>17</v>
      </c>
      <c r="J230" s="1" t="s">
        <v>18</v>
      </c>
      <c r="K230" s="1" t="s">
        <v>19</v>
      </c>
      <c r="L230" s="12">
        <v>5</v>
      </c>
      <c r="M230" s="16">
        <v>249.99</v>
      </c>
      <c r="N230" s="1" t="s">
        <v>20</v>
      </c>
      <c r="O230" s="1" t="s">
        <v>63</v>
      </c>
      <c r="P230" s="1" t="str">
        <f>UPPER(LEFT(Table1[[#This Row],[Region]],2))</f>
        <v>EA</v>
      </c>
      <c r="Q230" s="1" t="s">
        <v>36</v>
      </c>
      <c r="R230" s="3">
        <v>44540</v>
      </c>
      <c r="S230" s="20">
        <v>1249.95</v>
      </c>
      <c r="T230" s="23">
        <f t="shared" ca="1" si="9"/>
        <v>46057</v>
      </c>
      <c r="U230" s="26">
        <f t="shared" ca="1" si="10"/>
        <v>46057.595634259262</v>
      </c>
      <c r="V230" s="25">
        <f ca="1">DATEDIF(Table1[[#This Row],[Date]],TODAY(),"d")</f>
        <v>334</v>
      </c>
      <c r="W230" s="28">
        <f>EOMONTH(Table1[[#This Row],[Date]],0)</f>
        <v>45747</v>
      </c>
      <c r="X230" s="26">
        <f t="shared" ca="1" si="11"/>
        <v>46040.622929282406</v>
      </c>
    </row>
    <row r="231" spans="1:24" ht="15.75" thickBot="1" x14ac:dyDescent="0.3">
      <c r="A231" s="5" t="s">
        <v>376</v>
      </c>
      <c r="B231" s="3">
        <v>45724</v>
      </c>
      <c r="C231" s="12" t="str">
        <f>TEXT(Table1[[#This Row],[Date]],"mmm")</f>
        <v>Mar</v>
      </c>
      <c r="D231" s="12">
        <f>YEAR(Table1[[#This Row],[Date]])</f>
        <v>2025</v>
      </c>
      <c r="E231" s="3" t="str">
        <f>TEXT(Table1[[#This Row],[Date]],"mmm-yyyy")</f>
        <v>Mar-2025</v>
      </c>
      <c r="F231" s="1" t="s">
        <v>226</v>
      </c>
      <c r="G231" s="1" t="s">
        <v>227</v>
      </c>
      <c r="H231" s="1" t="str">
        <f>LEFT(Table1[[#This Row],[Customer_Name]],1)&amp;LEFT(MID(Table1[[#This Row],[Customer_Name]],FIND(" ",Table1[[#This Row],[Customer_Name]])+1,50),1)</f>
        <v>LR</v>
      </c>
      <c r="I231" s="1" t="s">
        <v>44</v>
      </c>
      <c r="J231" s="1" t="s">
        <v>45</v>
      </c>
      <c r="K231" s="1" t="s">
        <v>46</v>
      </c>
      <c r="L231" s="12">
        <v>2</v>
      </c>
      <c r="M231" s="16">
        <v>149.99</v>
      </c>
      <c r="N231" s="1" t="s">
        <v>34</v>
      </c>
      <c r="O231" s="1" t="s">
        <v>21</v>
      </c>
      <c r="P231" s="1" t="str">
        <f>UPPER(LEFT(Table1[[#This Row],[Region]],2))</f>
        <v>CE</v>
      </c>
      <c r="Q231" s="1" t="s">
        <v>27</v>
      </c>
      <c r="R231" s="3">
        <v>44632</v>
      </c>
      <c r="S231" s="20">
        <v>299.98</v>
      </c>
      <c r="T231" s="23">
        <f t="shared" ca="1" si="9"/>
        <v>46057</v>
      </c>
      <c r="U231" s="26">
        <f t="shared" ca="1" si="10"/>
        <v>46057.595634259262</v>
      </c>
      <c r="V231" s="25">
        <f ca="1">DATEDIF(Table1[[#This Row],[Date]],TODAY(),"d")</f>
        <v>333</v>
      </c>
      <c r="W231" s="28">
        <f>EOMONTH(Table1[[#This Row],[Date]],0)</f>
        <v>45747</v>
      </c>
      <c r="X231" s="26">
        <f t="shared" ca="1" si="11"/>
        <v>46040.622929282406</v>
      </c>
    </row>
    <row r="232" spans="1:24" ht="15.75" thickBot="1" x14ac:dyDescent="0.3">
      <c r="A232" s="5" t="s">
        <v>377</v>
      </c>
      <c r="B232" s="3">
        <v>45724</v>
      </c>
      <c r="C232" s="12" t="str">
        <f>TEXT(Table1[[#This Row],[Date]],"mmm")</f>
        <v>Mar</v>
      </c>
      <c r="D232" s="12">
        <f>YEAR(Table1[[#This Row],[Date]])</f>
        <v>2025</v>
      </c>
      <c r="E232" s="3" t="str">
        <f>TEXT(Table1[[#This Row],[Date]],"mmm-yyyy")</f>
        <v>Mar-2025</v>
      </c>
      <c r="F232" s="1" t="s">
        <v>144</v>
      </c>
      <c r="G232" s="1" t="s">
        <v>145</v>
      </c>
      <c r="H232" s="1" t="str">
        <f>LEFT(Table1[[#This Row],[Customer_Name]],1)&amp;LEFT(MID(Table1[[#This Row],[Customer_Name]],FIND(" ",Table1[[#This Row],[Customer_Name]])+1,50),1)</f>
        <v>HM</v>
      </c>
      <c r="I232" s="1" t="s">
        <v>61</v>
      </c>
      <c r="J232" s="1" t="s">
        <v>62</v>
      </c>
      <c r="K232" s="1" t="s">
        <v>19</v>
      </c>
      <c r="L232" s="12">
        <v>5</v>
      </c>
      <c r="M232" s="16">
        <v>899.99</v>
      </c>
      <c r="N232" s="1" t="s">
        <v>34</v>
      </c>
      <c r="O232" s="1" t="s">
        <v>63</v>
      </c>
      <c r="P232" s="1" t="str">
        <f>UPPER(LEFT(Table1[[#This Row],[Region]],2))</f>
        <v>EA</v>
      </c>
      <c r="Q232" s="1" t="s">
        <v>27</v>
      </c>
      <c r="R232" s="3">
        <v>45389</v>
      </c>
      <c r="S232" s="20">
        <v>4499.95</v>
      </c>
      <c r="T232" s="23">
        <f t="shared" ca="1" si="9"/>
        <v>46057</v>
      </c>
      <c r="U232" s="26">
        <f t="shared" ca="1" si="10"/>
        <v>46057.595634259262</v>
      </c>
      <c r="V232" s="25">
        <f ca="1">DATEDIF(Table1[[#This Row],[Date]],TODAY(),"d")</f>
        <v>333</v>
      </c>
      <c r="W232" s="28">
        <f>EOMONTH(Table1[[#This Row],[Date]],0)</f>
        <v>45747</v>
      </c>
      <c r="X232" s="26">
        <f t="shared" ca="1" si="11"/>
        <v>46040.622929282406</v>
      </c>
    </row>
    <row r="233" spans="1:24" ht="15.75" thickBot="1" x14ac:dyDescent="0.3">
      <c r="A233" s="5" t="s">
        <v>378</v>
      </c>
      <c r="B233" s="3">
        <v>45724</v>
      </c>
      <c r="C233" s="12" t="str">
        <f>TEXT(Table1[[#This Row],[Date]],"mmm")</f>
        <v>Mar</v>
      </c>
      <c r="D233" s="12">
        <f>YEAR(Table1[[#This Row],[Date]])</f>
        <v>2025</v>
      </c>
      <c r="E233" s="3" t="str">
        <f>TEXT(Table1[[#This Row],[Date]],"mmm-yyyy")</f>
        <v>Mar-2025</v>
      </c>
      <c r="F233" s="1" t="s">
        <v>55</v>
      </c>
      <c r="G233" s="1" t="s">
        <v>56</v>
      </c>
      <c r="H233" s="1" t="str">
        <f>LEFT(Table1[[#This Row],[Customer_Name]],1)&amp;LEFT(MID(Table1[[#This Row],[Customer_Name]],FIND(" ",Table1[[#This Row],[Customer_Name]])+1,50),1)</f>
        <v>CA</v>
      </c>
      <c r="I233" s="1" t="s">
        <v>44</v>
      </c>
      <c r="J233" s="1" t="s">
        <v>45</v>
      </c>
      <c r="K233" s="1" t="s">
        <v>46</v>
      </c>
      <c r="L233" s="12">
        <v>4</v>
      </c>
      <c r="M233" s="16">
        <v>149.99</v>
      </c>
      <c r="N233" s="1" t="s">
        <v>20</v>
      </c>
      <c r="O233" s="1" t="s">
        <v>21</v>
      </c>
      <c r="P233" s="1" t="str">
        <f>UPPER(LEFT(Table1[[#This Row],[Region]],2))</f>
        <v>CE</v>
      </c>
      <c r="Q233" s="1" t="s">
        <v>36</v>
      </c>
      <c r="R233" s="3">
        <v>45263</v>
      </c>
      <c r="S233" s="20">
        <v>599.96</v>
      </c>
      <c r="T233" s="23">
        <f t="shared" ca="1" si="9"/>
        <v>46057</v>
      </c>
      <c r="U233" s="26">
        <f t="shared" ca="1" si="10"/>
        <v>46057.595634259262</v>
      </c>
      <c r="V233" s="25">
        <f ca="1">DATEDIF(Table1[[#This Row],[Date]],TODAY(),"d")</f>
        <v>333</v>
      </c>
      <c r="W233" s="28">
        <f>EOMONTH(Table1[[#This Row],[Date]],0)</f>
        <v>45747</v>
      </c>
      <c r="X233" s="26">
        <f t="shared" ca="1" si="11"/>
        <v>46040.622929282406</v>
      </c>
    </row>
    <row r="234" spans="1:24" ht="15.75" thickBot="1" x14ac:dyDescent="0.3">
      <c r="A234" s="5" t="s">
        <v>379</v>
      </c>
      <c r="B234" s="3">
        <v>45726</v>
      </c>
      <c r="C234" s="12" t="str">
        <f>TEXT(Table1[[#This Row],[Date]],"mmm")</f>
        <v>Mar</v>
      </c>
      <c r="D234" s="12">
        <f>YEAR(Table1[[#This Row],[Date]])</f>
        <v>2025</v>
      </c>
      <c r="E234" s="3" t="str">
        <f>TEXT(Table1[[#This Row],[Date]],"mmm-yyyy")</f>
        <v>Mar-2025</v>
      </c>
      <c r="F234" s="1" t="s">
        <v>144</v>
      </c>
      <c r="G234" s="1" t="s">
        <v>145</v>
      </c>
      <c r="H234" s="1" t="str">
        <f>LEFT(Table1[[#This Row],[Customer_Name]],1)&amp;LEFT(MID(Table1[[#This Row],[Customer_Name]],FIND(" ",Table1[[#This Row],[Customer_Name]])+1,50),1)</f>
        <v>HM</v>
      </c>
      <c r="I234" s="1" t="s">
        <v>17</v>
      </c>
      <c r="J234" s="1" t="s">
        <v>18</v>
      </c>
      <c r="K234" s="1" t="s">
        <v>19</v>
      </c>
      <c r="L234" s="12">
        <v>1</v>
      </c>
      <c r="M234" s="16">
        <v>249.99</v>
      </c>
      <c r="N234" s="1" t="s">
        <v>20</v>
      </c>
      <c r="O234" s="1" t="s">
        <v>40</v>
      </c>
      <c r="P234" s="1" t="str">
        <f>UPPER(LEFT(Table1[[#This Row],[Region]],2))</f>
        <v>NO</v>
      </c>
      <c r="Q234" s="1" t="s">
        <v>36</v>
      </c>
      <c r="R234" s="3">
        <v>45117</v>
      </c>
      <c r="S234" s="20">
        <v>249.99</v>
      </c>
      <c r="T234" s="23">
        <f t="shared" ca="1" si="9"/>
        <v>46057</v>
      </c>
      <c r="U234" s="26">
        <f t="shared" ca="1" si="10"/>
        <v>46057.595634259262</v>
      </c>
      <c r="V234" s="25">
        <f ca="1">DATEDIF(Table1[[#This Row],[Date]],TODAY(),"d")</f>
        <v>331</v>
      </c>
      <c r="W234" s="28">
        <f>EOMONTH(Table1[[#This Row],[Date]],0)</f>
        <v>45747</v>
      </c>
      <c r="X234" s="26">
        <f t="shared" ca="1" si="11"/>
        <v>46040.622929282406</v>
      </c>
    </row>
    <row r="235" spans="1:24" ht="15.75" thickBot="1" x14ac:dyDescent="0.3">
      <c r="A235" s="5" t="s">
        <v>380</v>
      </c>
      <c r="B235" s="3">
        <v>45734</v>
      </c>
      <c r="C235" s="12" t="str">
        <f>TEXT(Table1[[#This Row],[Date]],"mmm")</f>
        <v>Mar</v>
      </c>
      <c r="D235" s="12">
        <f>YEAR(Table1[[#This Row],[Date]])</f>
        <v>2025</v>
      </c>
      <c r="E235" s="3" t="str">
        <f>TEXT(Table1[[#This Row],[Date]],"mmm-yyyy")</f>
        <v>Mar-2025</v>
      </c>
      <c r="F235" s="1" t="s">
        <v>192</v>
      </c>
      <c r="G235" s="1" t="s">
        <v>193</v>
      </c>
      <c r="H235" s="1" t="str">
        <f>LEFT(Table1[[#This Row],[Customer_Name]],1)&amp;LEFT(MID(Table1[[#This Row],[Customer_Name]],FIND(" ",Table1[[#This Row],[Customer_Name]])+1,50),1)</f>
        <v>FT</v>
      </c>
      <c r="I235" s="1" t="s">
        <v>31</v>
      </c>
      <c r="J235" s="1" t="s">
        <v>32</v>
      </c>
      <c r="K235" s="1" t="s">
        <v>33</v>
      </c>
      <c r="L235" s="12">
        <v>2</v>
      </c>
      <c r="M235" s="16">
        <v>59.99</v>
      </c>
      <c r="N235" s="1" t="s">
        <v>26</v>
      </c>
      <c r="O235" s="1" t="s">
        <v>50</v>
      </c>
      <c r="P235" s="1" t="str">
        <f>UPPER(LEFT(Table1[[#This Row],[Region]],2))</f>
        <v>WE</v>
      </c>
      <c r="Q235" s="1" t="s">
        <v>22</v>
      </c>
      <c r="R235" s="3">
        <v>45193</v>
      </c>
      <c r="S235" s="20">
        <v>119.98</v>
      </c>
      <c r="T235" s="23">
        <f t="shared" ca="1" si="9"/>
        <v>46057</v>
      </c>
      <c r="U235" s="26">
        <f t="shared" ca="1" si="10"/>
        <v>46057.595634259262</v>
      </c>
      <c r="V235" s="25">
        <f ca="1">DATEDIF(Table1[[#This Row],[Date]],TODAY(),"d")</f>
        <v>323</v>
      </c>
      <c r="W235" s="28">
        <f>EOMONTH(Table1[[#This Row],[Date]],0)</f>
        <v>45747</v>
      </c>
      <c r="X235" s="26">
        <f t="shared" ca="1" si="11"/>
        <v>46040.622929282406</v>
      </c>
    </row>
    <row r="236" spans="1:24" ht="15.75" thickBot="1" x14ac:dyDescent="0.3">
      <c r="A236" s="5" t="s">
        <v>381</v>
      </c>
      <c r="B236" s="3">
        <v>45737</v>
      </c>
      <c r="C236" s="12" t="str">
        <f>TEXT(Table1[[#This Row],[Date]],"mmm")</f>
        <v>Mar</v>
      </c>
      <c r="D236" s="12">
        <f>YEAR(Table1[[#This Row],[Date]])</f>
        <v>2025</v>
      </c>
      <c r="E236" s="3" t="str">
        <f>TEXT(Table1[[#This Row],[Date]],"mmm-yyyy")</f>
        <v>Mar-2025</v>
      </c>
      <c r="F236" s="1" t="s">
        <v>132</v>
      </c>
      <c r="G236" s="1" t="s">
        <v>133</v>
      </c>
      <c r="H236" s="1" t="str">
        <f>LEFT(Table1[[#This Row],[Customer_Name]],1)&amp;LEFT(MID(Table1[[#This Row],[Customer_Name]],FIND(" ",Table1[[#This Row],[Customer_Name]])+1,50),1)</f>
        <v>EW</v>
      </c>
      <c r="I236" s="1" t="s">
        <v>44</v>
      </c>
      <c r="J236" s="1" t="s">
        <v>45</v>
      </c>
      <c r="K236" s="1" t="s">
        <v>46</v>
      </c>
      <c r="L236" s="12">
        <v>2</v>
      </c>
      <c r="M236" s="16">
        <v>149.99</v>
      </c>
      <c r="N236" s="1" t="s">
        <v>20</v>
      </c>
      <c r="O236" s="1" t="s">
        <v>50</v>
      </c>
      <c r="P236" s="1" t="str">
        <f>UPPER(LEFT(Table1[[#This Row],[Region]],2))</f>
        <v>WE</v>
      </c>
      <c r="Q236" s="1" t="s">
        <v>27</v>
      </c>
      <c r="R236" s="3">
        <v>45233</v>
      </c>
      <c r="S236" s="20">
        <v>299.98</v>
      </c>
      <c r="T236" s="23">
        <f t="shared" ca="1" si="9"/>
        <v>46057</v>
      </c>
      <c r="U236" s="26">
        <f t="shared" ca="1" si="10"/>
        <v>46057.595634259262</v>
      </c>
      <c r="V236" s="25">
        <f ca="1">DATEDIF(Table1[[#This Row],[Date]],TODAY(),"d")</f>
        <v>320</v>
      </c>
      <c r="W236" s="28">
        <f>EOMONTH(Table1[[#This Row],[Date]],0)</f>
        <v>45747</v>
      </c>
      <c r="X236" s="26">
        <f t="shared" ca="1" si="11"/>
        <v>46040.622929282406</v>
      </c>
    </row>
    <row r="237" spans="1:24" ht="15.75" thickBot="1" x14ac:dyDescent="0.3">
      <c r="A237" s="5" t="s">
        <v>382</v>
      </c>
      <c r="B237" s="3">
        <v>45737</v>
      </c>
      <c r="C237" s="12" t="str">
        <f>TEXT(Table1[[#This Row],[Date]],"mmm")</f>
        <v>Mar</v>
      </c>
      <c r="D237" s="12">
        <f>YEAR(Table1[[#This Row],[Date]])</f>
        <v>2025</v>
      </c>
      <c r="E237" s="3" t="str">
        <f>TEXT(Table1[[#This Row],[Date]],"mmm-yyyy")</f>
        <v>Mar-2025</v>
      </c>
      <c r="F237" s="1" t="s">
        <v>150</v>
      </c>
      <c r="G237" s="1" t="s">
        <v>151</v>
      </c>
      <c r="H237" s="1" t="str">
        <f>LEFT(Table1[[#This Row],[Customer_Name]],1)&amp;LEFT(MID(Table1[[#This Row],[Customer_Name]],FIND(" ",Table1[[#This Row],[Customer_Name]])+1,50),1)</f>
        <v>SB</v>
      </c>
      <c r="I237" s="1" t="s">
        <v>61</v>
      </c>
      <c r="J237" s="1" t="s">
        <v>62</v>
      </c>
      <c r="K237" s="1" t="s">
        <v>19</v>
      </c>
      <c r="L237" s="12">
        <v>3</v>
      </c>
      <c r="M237" s="16">
        <v>899.99</v>
      </c>
      <c r="N237" s="1" t="s">
        <v>57</v>
      </c>
      <c r="O237" s="1" t="s">
        <v>40</v>
      </c>
      <c r="P237" s="1" t="str">
        <f>UPPER(LEFT(Table1[[#This Row],[Region]],2))</f>
        <v>NO</v>
      </c>
      <c r="Q237" s="1" t="s">
        <v>27</v>
      </c>
      <c r="R237" s="3">
        <v>44876</v>
      </c>
      <c r="S237" s="20">
        <v>2699.97</v>
      </c>
      <c r="T237" s="23">
        <f t="shared" ca="1" si="9"/>
        <v>46057</v>
      </c>
      <c r="U237" s="26">
        <f t="shared" ca="1" si="10"/>
        <v>46057.595634259262</v>
      </c>
      <c r="V237" s="25">
        <f ca="1">DATEDIF(Table1[[#This Row],[Date]],TODAY(),"d")</f>
        <v>320</v>
      </c>
      <c r="W237" s="28">
        <f>EOMONTH(Table1[[#This Row],[Date]],0)</f>
        <v>45747</v>
      </c>
      <c r="X237" s="26">
        <f t="shared" ca="1" si="11"/>
        <v>46040.622929282406</v>
      </c>
    </row>
    <row r="238" spans="1:24" ht="15.75" thickBot="1" x14ac:dyDescent="0.3">
      <c r="A238" s="5" t="s">
        <v>383</v>
      </c>
      <c r="B238" s="3">
        <v>45737</v>
      </c>
      <c r="C238" s="12" t="str">
        <f>TEXT(Table1[[#This Row],[Date]],"mmm")</f>
        <v>Mar</v>
      </c>
      <c r="D238" s="12">
        <f>YEAR(Table1[[#This Row],[Date]])</f>
        <v>2025</v>
      </c>
      <c r="E238" s="3" t="str">
        <f>TEXT(Table1[[#This Row],[Date]],"mmm-yyyy")</f>
        <v>Mar-2025</v>
      </c>
      <c r="F238" s="1" t="s">
        <v>48</v>
      </c>
      <c r="G238" s="1" t="s">
        <v>49</v>
      </c>
      <c r="H238" s="1" t="str">
        <f>LEFT(Table1[[#This Row],[Customer_Name]],1)&amp;LEFT(MID(Table1[[#This Row],[Customer_Name]],FIND(" ",Table1[[#This Row],[Customer_Name]])+1,50),1)</f>
        <v>DN</v>
      </c>
      <c r="I238" s="1" t="s">
        <v>61</v>
      </c>
      <c r="J238" s="1" t="s">
        <v>62</v>
      </c>
      <c r="K238" s="1" t="s">
        <v>19</v>
      </c>
      <c r="L238" s="12">
        <v>3</v>
      </c>
      <c r="M238" s="16">
        <v>899.99</v>
      </c>
      <c r="N238" s="1" t="s">
        <v>34</v>
      </c>
      <c r="O238" s="1" t="s">
        <v>40</v>
      </c>
      <c r="P238" s="1" t="str">
        <f>UPPER(LEFT(Table1[[#This Row],[Region]],2))</f>
        <v>NO</v>
      </c>
      <c r="Q238" s="1" t="s">
        <v>22</v>
      </c>
      <c r="R238" s="3">
        <v>44975</v>
      </c>
      <c r="S238" s="20">
        <v>2699.97</v>
      </c>
      <c r="T238" s="23">
        <f t="shared" ca="1" si="9"/>
        <v>46057</v>
      </c>
      <c r="U238" s="26">
        <f t="shared" ca="1" si="10"/>
        <v>46057.595634259262</v>
      </c>
      <c r="V238" s="25">
        <f ca="1">DATEDIF(Table1[[#This Row],[Date]],TODAY(),"d")</f>
        <v>320</v>
      </c>
      <c r="W238" s="28">
        <f>EOMONTH(Table1[[#This Row],[Date]],0)</f>
        <v>45747</v>
      </c>
      <c r="X238" s="26">
        <f t="shared" ca="1" si="11"/>
        <v>46040.622929282406</v>
      </c>
    </row>
    <row r="239" spans="1:24" ht="15.75" thickBot="1" x14ac:dyDescent="0.3">
      <c r="A239" s="5" t="s">
        <v>384</v>
      </c>
      <c r="B239" s="3">
        <v>45739</v>
      </c>
      <c r="C239" s="12" t="str">
        <f>TEXT(Table1[[#This Row],[Date]],"mmm")</f>
        <v>Mar</v>
      </c>
      <c r="D239" s="12">
        <f>YEAR(Table1[[#This Row],[Date]])</f>
        <v>2025</v>
      </c>
      <c r="E239" s="3" t="str">
        <f>TEXT(Table1[[#This Row],[Date]],"mmm-yyyy")</f>
        <v>Mar-2025</v>
      </c>
      <c r="F239" s="1" t="s">
        <v>15</v>
      </c>
      <c r="G239" s="1" t="s">
        <v>16</v>
      </c>
      <c r="H239" s="1" t="str">
        <f>LEFT(Table1[[#This Row],[Customer_Name]],1)&amp;LEFT(MID(Table1[[#This Row],[Customer_Name]],FIND(" ",Table1[[#This Row],[Customer_Name]])+1,50),1)</f>
        <v>PB</v>
      </c>
      <c r="I239" s="1" t="s">
        <v>105</v>
      </c>
      <c r="J239" s="1" t="s">
        <v>106</v>
      </c>
      <c r="K239" s="1" t="s">
        <v>46</v>
      </c>
      <c r="L239" s="12">
        <v>3</v>
      </c>
      <c r="M239" s="16">
        <v>299.99</v>
      </c>
      <c r="N239" s="1" t="s">
        <v>26</v>
      </c>
      <c r="O239" s="1" t="s">
        <v>50</v>
      </c>
      <c r="P239" s="1" t="str">
        <f>UPPER(LEFT(Table1[[#This Row],[Region]],2))</f>
        <v>WE</v>
      </c>
      <c r="Q239" s="1" t="s">
        <v>27</v>
      </c>
      <c r="R239" s="3">
        <v>45234</v>
      </c>
      <c r="S239" s="20">
        <v>899.97</v>
      </c>
      <c r="T239" s="23">
        <f t="shared" ca="1" si="9"/>
        <v>46057</v>
      </c>
      <c r="U239" s="26">
        <f t="shared" ca="1" si="10"/>
        <v>46057.595634259262</v>
      </c>
      <c r="V239" s="25">
        <f ca="1">DATEDIF(Table1[[#This Row],[Date]],TODAY(),"d")</f>
        <v>318</v>
      </c>
      <c r="W239" s="28">
        <f>EOMONTH(Table1[[#This Row],[Date]],0)</f>
        <v>45747</v>
      </c>
      <c r="X239" s="26">
        <f t="shared" ca="1" si="11"/>
        <v>46040.622929282406</v>
      </c>
    </row>
    <row r="240" spans="1:24" ht="15.75" thickBot="1" x14ac:dyDescent="0.3">
      <c r="A240" s="5" t="s">
        <v>385</v>
      </c>
      <c r="B240" s="3">
        <v>45740</v>
      </c>
      <c r="C240" s="12" t="str">
        <f>TEXT(Table1[[#This Row],[Date]],"mmm")</f>
        <v>Mar</v>
      </c>
      <c r="D240" s="12">
        <f>YEAR(Table1[[#This Row],[Date]])</f>
        <v>2025</v>
      </c>
      <c r="E240" s="3" t="str">
        <f>TEXT(Table1[[#This Row],[Date]],"mmm-yyyy")</f>
        <v>Mar-2025</v>
      </c>
      <c r="F240" s="1" t="s">
        <v>386</v>
      </c>
      <c r="G240" s="1" t="s">
        <v>387</v>
      </c>
      <c r="H240" s="1" t="str">
        <f>LEFT(Table1[[#This Row],[Customer_Name]],1)&amp;LEFT(MID(Table1[[#This Row],[Customer_Name]],FIND(" ",Table1[[#This Row],[Customer_Name]])+1,50),1)</f>
        <v>JS</v>
      </c>
      <c r="I240" s="1" t="s">
        <v>44</v>
      </c>
      <c r="J240" s="1" t="s">
        <v>45</v>
      </c>
      <c r="K240" s="1" t="s">
        <v>46</v>
      </c>
      <c r="L240" s="12">
        <v>4</v>
      </c>
      <c r="M240" s="16">
        <v>149.99</v>
      </c>
      <c r="N240" s="1" t="s">
        <v>34</v>
      </c>
      <c r="O240" s="1" t="s">
        <v>50</v>
      </c>
      <c r="P240" s="1" t="str">
        <f>UPPER(LEFT(Table1[[#This Row],[Region]],2))</f>
        <v>WE</v>
      </c>
      <c r="Q240" s="1" t="s">
        <v>36</v>
      </c>
      <c r="R240" s="3">
        <v>44560</v>
      </c>
      <c r="S240" s="20">
        <v>599.96</v>
      </c>
      <c r="T240" s="23">
        <f t="shared" ca="1" si="9"/>
        <v>46057</v>
      </c>
      <c r="U240" s="26">
        <f t="shared" ca="1" si="10"/>
        <v>46057.595634259262</v>
      </c>
      <c r="V240" s="25">
        <f ca="1">DATEDIF(Table1[[#This Row],[Date]],TODAY(),"d")</f>
        <v>317</v>
      </c>
      <c r="W240" s="28">
        <f>EOMONTH(Table1[[#This Row],[Date]],0)</f>
        <v>45747</v>
      </c>
      <c r="X240" s="26">
        <f t="shared" ca="1" si="11"/>
        <v>46040.622929282406</v>
      </c>
    </row>
    <row r="241" spans="1:24" ht="15.75" thickBot="1" x14ac:dyDescent="0.3">
      <c r="A241" s="5" t="s">
        <v>388</v>
      </c>
      <c r="B241" s="3">
        <v>45743</v>
      </c>
      <c r="C241" s="12" t="str">
        <f>TEXT(Table1[[#This Row],[Date]],"mmm")</f>
        <v>Mar</v>
      </c>
      <c r="D241" s="12">
        <f>YEAR(Table1[[#This Row],[Date]])</f>
        <v>2025</v>
      </c>
      <c r="E241" s="3" t="str">
        <f>TEXT(Table1[[#This Row],[Date]],"mmm-yyyy")</f>
        <v>Mar-2025</v>
      </c>
      <c r="F241" s="1" t="s">
        <v>102</v>
      </c>
      <c r="G241" s="1" t="s">
        <v>103</v>
      </c>
      <c r="H241" s="1" t="str">
        <f>LEFT(Table1[[#This Row],[Customer_Name]],1)&amp;LEFT(MID(Table1[[#This Row],[Customer_Name]],FIND(" ",Table1[[#This Row],[Customer_Name]])+1,50),1)</f>
        <v>CP</v>
      </c>
      <c r="I241" s="1" t="s">
        <v>114</v>
      </c>
      <c r="J241" s="1" t="s">
        <v>115</v>
      </c>
      <c r="K241" s="1" t="s">
        <v>33</v>
      </c>
      <c r="L241" s="12">
        <v>4</v>
      </c>
      <c r="M241" s="16">
        <v>79.989999999999995</v>
      </c>
      <c r="N241" s="1" t="s">
        <v>26</v>
      </c>
      <c r="O241" s="1" t="s">
        <v>21</v>
      </c>
      <c r="P241" s="1" t="str">
        <f>UPPER(LEFT(Table1[[#This Row],[Region]],2))</f>
        <v>CE</v>
      </c>
      <c r="Q241" s="1" t="s">
        <v>22</v>
      </c>
      <c r="R241" s="3">
        <v>45288</v>
      </c>
      <c r="S241" s="20">
        <v>319.95999999999998</v>
      </c>
      <c r="T241" s="23">
        <f t="shared" ca="1" si="9"/>
        <v>46057</v>
      </c>
      <c r="U241" s="26">
        <f t="shared" ca="1" si="10"/>
        <v>46057.595634259262</v>
      </c>
      <c r="V241" s="25">
        <f ca="1">DATEDIF(Table1[[#This Row],[Date]],TODAY(),"d")</f>
        <v>314</v>
      </c>
      <c r="W241" s="28">
        <f>EOMONTH(Table1[[#This Row],[Date]],0)</f>
        <v>45747</v>
      </c>
      <c r="X241" s="26">
        <f t="shared" ca="1" si="11"/>
        <v>46040.622929282406</v>
      </c>
    </row>
    <row r="242" spans="1:24" ht="15.75" thickBot="1" x14ac:dyDescent="0.3">
      <c r="A242" s="5" t="s">
        <v>389</v>
      </c>
      <c r="B242" s="3">
        <v>45745</v>
      </c>
      <c r="C242" s="12" t="str">
        <f>TEXT(Table1[[#This Row],[Date]],"mmm")</f>
        <v>Mar</v>
      </c>
      <c r="D242" s="12">
        <f>YEAR(Table1[[#This Row],[Date]])</f>
        <v>2025</v>
      </c>
      <c r="E242" s="3" t="str">
        <f>TEXT(Table1[[#This Row],[Date]],"mmm-yyyy")</f>
        <v>Mar-2025</v>
      </c>
      <c r="F242" s="1" t="s">
        <v>185</v>
      </c>
      <c r="G242" s="1" t="s">
        <v>186</v>
      </c>
      <c r="H242" s="1" t="str">
        <f>LEFT(Table1[[#This Row],[Customer_Name]],1)&amp;LEFT(MID(Table1[[#This Row],[Customer_Name]],FIND(" ",Table1[[#This Row],[Customer_Name]])+1,50),1)</f>
        <v>MW</v>
      </c>
      <c r="I242" s="1" t="s">
        <v>117</v>
      </c>
      <c r="J242" s="1" t="s">
        <v>118</v>
      </c>
      <c r="K242" s="1" t="s">
        <v>19</v>
      </c>
      <c r="L242" s="12">
        <v>5</v>
      </c>
      <c r="M242" s="16">
        <v>89.99</v>
      </c>
      <c r="N242" s="1" t="s">
        <v>34</v>
      </c>
      <c r="O242" s="1" t="s">
        <v>35</v>
      </c>
      <c r="P242" s="1" t="str">
        <f>UPPER(LEFT(Table1[[#This Row],[Region]],2))</f>
        <v>SO</v>
      </c>
      <c r="Q242" s="1" t="s">
        <v>22</v>
      </c>
      <c r="R242" s="3">
        <v>44704</v>
      </c>
      <c r="S242" s="20">
        <v>449.95</v>
      </c>
      <c r="T242" s="23">
        <f t="shared" ca="1" si="9"/>
        <v>46057</v>
      </c>
      <c r="U242" s="26">
        <f t="shared" ca="1" si="10"/>
        <v>46057.595634259262</v>
      </c>
      <c r="V242" s="25">
        <f ca="1">DATEDIF(Table1[[#This Row],[Date]],TODAY(),"d")</f>
        <v>312</v>
      </c>
      <c r="W242" s="28">
        <f>EOMONTH(Table1[[#This Row],[Date]],0)</f>
        <v>45747</v>
      </c>
      <c r="X242" s="26">
        <f t="shared" ca="1" si="11"/>
        <v>46040.622929282406</v>
      </c>
    </row>
    <row r="243" spans="1:24" ht="15.75" thickBot="1" x14ac:dyDescent="0.3">
      <c r="A243" s="5" t="s">
        <v>390</v>
      </c>
      <c r="B243" s="3">
        <v>45746</v>
      </c>
      <c r="C243" s="12" t="str">
        <f>TEXT(Table1[[#This Row],[Date]],"mmm")</f>
        <v>Mar</v>
      </c>
      <c r="D243" s="12">
        <f>YEAR(Table1[[#This Row],[Date]])</f>
        <v>2025</v>
      </c>
      <c r="E243" s="3" t="str">
        <f>TEXT(Table1[[#This Row],[Date]],"mmm-yyyy")</f>
        <v>Mar-2025</v>
      </c>
      <c r="F243" s="1" t="s">
        <v>93</v>
      </c>
      <c r="G243" s="1" t="s">
        <v>94</v>
      </c>
      <c r="H243" s="1" t="str">
        <f>LEFT(Table1[[#This Row],[Customer_Name]],1)&amp;LEFT(MID(Table1[[#This Row],[Customer_Name]],FIND(" ",Table1[[#This Row],[Customer_Name]])+1,50),1)</f>
        <v>VS</v>
      </c>
      <c r="I243" s="1" t="s">
        <v>44</v>
      </c>
      <c r="J243" s="1" t="s">
        <v>45</v>
      </c>
      <c r="K243" s="1" t="s">
        <v>46</v>
      </c>
      <c r="L243" s="12">
        <v>3</v>
      </c>
      <c r="M243" s="16">
        <v>149.99</v>
      </c>
      <c r="N243" s="1" t="s">
        <v>34</v>
      </c>
      <c r="O243" s="1" t="s">
        <v>21</v>
      </c>
      <c r="P243" s="1" t="str">
        <f>UPPER(LEFT(Table1[[#This Row],[Region]],2))</f>
        <v>CE</v>
      </c>
      <c r="Q243" s="1" t="s">
        <v>36</v>
      </c>
      <c r="R243" s="3">
        <v>45171</v>
      </c>
      <c r="S243" s="20">
        <v>449.97</v>
      </c>
      <c r="T243" s="23">
        <f t="shared" ca="1" si="9"/>
        <v>46057</v>
      </c>
      <c r="U243" s="26">
        <f t="shared" ca="1" si="10"/>
        <v>46057.595634259262</v>
      </c>
      <c r="V243" s="25">
        <f ca="1">DATEDIF(Table1[[#This Row],[Date]],TODAY(),"d")</f>
        <v>311</v>
      </c>
      <c r="W243" s="28">
        <f>EOMONTH(Table1[[#This Row],[Date]],0)</f>
        <v>45747</v>
      </c>
      <c r="X243" s="26">
        <f t="shared" ca="1" si="11"/>
        <v>46040.622929282406</v>
      </c>
    </row>
    <row r="244" spans="1:24" ht="15.75" thickBot="1" x14ac:dyDescent="0.3">
      <c r="A244" s="5" t="s">
        <v>391</v>
      </c>
      <c r="B244" s="3">
        <v>45746</v>
      </c>
      <c r="C244" s="12" t="str">
        <f>TEXT(Table1[[#This Row],[Date]],"mmm")</f>
        <v>Mar</v>
      </c>
      <c r="D244" s="12">
        <f>YEAR(Table1[[#This Row],[Date]])</f>
        <v>2025</v>
      </c>
      <c r="E244" s="3" t="str">
        <f>TEXT(Table1[[#This Row],[Date]],"mmm-yyyy")</f>
        <v>Mar-2025</v>
      </c>
      <c r="F244" s="1" t="s">
        <v>65</v>
      </c>
      <c r="G244" s="1" t="s">
        <v>66</v>
      </c>
      <c r="H244" s="1" t="str">
        <f>LEFT(Table1[[#This Row],[Customer_Name]],1)&amp;LEFT(MID(Table1[[#This Row],[Customer_Name]],FIND(" ",Table1[[#This Row],[Customer_Name]])+1,50),1)</f>
        <v>KH</v>
      </c>
      <c r="I244" s="1" t="s">
        <v>117</v>
      </c>
      <c r="J244" s="1" t="s">
        <v>118</v>
      </c>
      <c r="K244" s="1" t="s">
        <v>19</v>
      </c>
      <c r="L244" s="12">
        <v>2</v>
      </c>
      <c r="M244" s="16">
        <v>89.99</v>
      </c>
      <c r="N244" s="1" t="s">
        <v>57</v>
      </c>
      <c r="O244" s="1" t="s">
        <v>50</v>
      </c>
      <c r="P244" s="1" t="str">
        <f>UPPER(LEFT(Table1[[#This Row],[Region]],2))</f>
        <v>WE</v>
      </c>
      <c r="Q244" s="1" t="s">
        <v>27</v>
      </c>
      <c r="R244" s="3">
        <v>44522</v>
      </c>
      <c r="S244" s="20">
        <v>179.98</v>
      </c>
      <c r="T244" s="23">
        <f t="shared" ca="1" si="9"/>
        <v>46057</v>
      </c>
      <c r="U244" s="26">
        <f t="shared" ca="1" si="10"/>
        <v>46057.595634259262</v>
      </c>
      <c r="V244" s="25">
        <f ca="1">DATEDIF(Table1[[#This Row],[Date]],TODAY(),"d")</f>
        <v>311</v>
      </c>
      <c r="W244" s="28">
        <f>EOMONTH(Table1[[#This Row],[Date]],0)</f>
        <v>45747</v>
      </c>
      <c r="X244" s="26">
        <f t="shared" ca="1" si="11"/>
        <v>46040.622929282406</v>
      </c>
    </row>
    <row r="245" spans="1:24" ht="15.75" thickBot="1" x14ac:dyDescent="0.3">
      <c r="A245" s="5" t="s">
        <v>392</v>
      </c>
      <c r="B245" s="3">
        <v>45748</v>
      </c>
      <c r="C245" s="12" t="str">
        <f>TEXT(Table1[[#This Row],[Date]],"mmm")</f>
        <v>Apr</v>
      </c>
      <c r="D245" s="12">
        <f>YEAR(Table1[[#This Row],[Date]])</f>
        <v>2025</v>
      </c>
      <c r="E245" s="3" t="str">
        <f>TEXT(Table1[[#This Row],[Date]],"mmm-yyyy")</f>
        <v>Apr-2025</v>
      </c>
      <c r="F245" s="1" t="s">
        <v>102</v>
      </c>
      <c r="G245" s="1" t="s">
        <v>103</v>
      </c>
      <c r="H245" s="1" t="str">
        <f>LEFT(Table1[[#This Row],[Customer_Name]],1)&amp;LEFT(MID(Table1[[#This Row],[Customer_Name]],FIND(" ",Table1[[#This Row],[Customer_Name]])+1,50),1)</f>
        <v>CP</v>
      </c>
      <c r="I245" s="1" t="s">
        <v>80</v>
      </c>
      <c r="J245" s="1" t="s">
        <v>81</v>
      </c>
      <c r="K245" s="1" t="s">
        <v>19</v>
      </c>
      <c r="L245" s="12">
        <v>2</v>
      </c>
      <c r="M245" s="16">
        <v>699.99</v>
      </c>
      <c r="N245" s="1" t="s">
        <v>34</v>
      </c>
      <c r="O245" s="1" t="s">
        <v>40</v>
      </c>
      <c r="P245" s="1" t="str">
        <f>UPPER(LEFT(Table1[[#This Row],[Region]],2))</f>
        <v>NO</v>
      </c>
      <c r="Q245" s="1" t="s">
        <v>36</v>
      </c>
      <c r="R245" s="3">
        <v>44618</v>
      </c>
      <c r="S245" s="20">
        <v>1399.98</v>
      </c>
      <c r="T245" s="23">
        <f t="shared" ca="1" si="9"/>
        <v>46057</v>
      </c>
      <c r="U245" s="26">
        <f t="shared" ca="1" si="10"/>
        <v>46057.595634259262</v>
      </c>
      <c r="V245" s="25">
        <f ca="1">DATEDIF(Table1[[#This Row],[Date]],TODAY(),"d")</f>
        <v>309</v>
      </c>
      <c r="W245" s="28">
        <f>EOMONTH(Table1[[#This Row],[Date]],0)</f>
        <v>45777</v>
      </c>
      <c r="X245" s="26">
        <f t="shared" ca="1" si="11"/>
        <v>46040.622929282406</v>
      </c>
    </row>
    <row r="246" spans="1:24" ht="15.75" thickBot="1" x14ac:dyDescent="0.3">
      <c r="A246" s="5" t="s">
        <v>393</v>
      </c>
      <c r="B246" s="3">
        <v>45749</v>
      </c>
      <c r="C246" s="12" t="str">
        <f>TEXT(Table1[[#This Row],[Date]],"mmm")</f>
        <v>Apr</v>
      </c>
      <c r="D246" s="12">
        <f>YEAR(Table1[[#This Row],[Date]])</f>
        <v>2025</v>
      </c>
      <c r="E246" s="3" t="str">
        <f>TEXT(Table1[[#This Row],[Date]],"mmm-yyyy")</f>
        <v>Apr-2025</v>
      </c>
      <c r="F246" s="1" t="s">
        <v>123</v>
      </c>
      <c r="G246" s="1" t="s">
        <v>124</v>
      </c>
      <c r="H246" s="1" t="str">
        <f>LEFT(Table1[[#This Row],[Customer_Name]],1)&amp;LEFT(MID(Table1[[#This Row],[Customer_Name]],FIND(" ",Table1[[#This Row],[Customer_Name]])+1,50),1)</f>
        <v>EM</v>
      </c>
      <c r="I246" s="1" t="s">
        <v>61</v>
      </c>
      <c r="J246" s="1" t="s">
        <v>62</v>
      </c>
      <c r="K246" s="1" t="s">
        <v>19</v>
      </c>
      <c r="L246" s="12">
        <v>3</v>
      </c>
      <c r="M246" s="16">
        <v>899.99</v>
      </c>
      <c r="N246" s="1" t="s">
        <v>20</v>
      </c>
      <c r="O246" s="1" t="s">
        <v>21</v>
      </c>
      <c r="P246" s="1" t="str">
        <f>UPPER(LEFT(Table1[[#This Row],[Region]],2))</f>
        <v>CE</v>
      </c>
      <c r="Q246" s="1" t="s">
        <v>36</v>
      </c>
      <c r="R246" s="3">
        <v>44953</v>
      </c>
      <c r="S246" s="20">
        <v>2699.97</v>
      </c>
      <c r="T246" s="23">
        <f t="shared" ca="1" si="9"/>
        <v>46057</v>
      </c>
      <c r="U246" s="26">
        <f t="shared" ca="1" si="10"/>
        <v>46057.595634259262</v>
      </c>
      <c r="V246" s="25">
        <f ca="1">DATEDIF(Table1[[#This Row],[Date]],TODAY(),"d")</f>
        <v>308</v>
      </c>
      <c r="W246" s="28">
        <f>EOMONTH(Table1[[#This Row],[Date]],0)</f>
        <v>45777</v>
      </c>
      <c r="X246" s="26">
        <f t="shared" ca="1" si="11"/>
        <v>46040.622929282406</v>
      </c>
    </row>
    <row r="247" spans="1:24" ht="15.75" thickBot="1" x14ac:dyDescent="0.3">
      <c r="A247" s="5" t="s">
        <v>394</v>
      </c>
      <c r="B247" s="3">
        <v>45755</v>
      </c>
      <c r="C247" s="12" t="str">
        <f>TEXT(Table1[[#This Row],[Date]],"mmm")</f>
        <v>Apr</v>
      </c>
      <c r="D247" s="12">
        <f>YEAR(Table1[[#This Row],[Date]])</f>
        <v>2025</v>
      </c>
      <c r="E247" s="3" t="str">
        <f>TEXT(Table1[[#This Row],[Date]],"mmm-yyyy")</f>
        <v>Apr-2025</v>
      </c>
      <c r="F247" s="1" t="s">
        <v>93</v>
      </c>
      <c r="G247" s="1" t="s">
        <v>94</v>
      </c>
      <c r="H247" s="1" t="str">
        <f>LEFT(Table1[[#This Row],[Customer_Name]],1)&amp;LEFT(MID(Table1[[#This Row],[Customer_Name]],FIND(" ",Table1[[#This Row],[Customer_Name]])+1,50),1)</f>
        <v>VS</v>
      </c>
      <c r="I247" s="1" t="s">
        <v>114</v>
      </c>
      <c r="J247" s="1" t="s">
        <v>115</v>
      </c>
      <c r="K247" s="1" t="s">
        <v>33</v>
      </c>
      <c r="L247" s="12">
        <v>3</v>
      </c>
      <c r="M247" s="16">
        <v>79.989999999999995</v>
      </c>
      <c r="N247" s="1" t="s">
        <v>26</v>
      </c>
      <c r="O247" s="1" t="s">
        <v>40</v>
      </c>
      <c r="P247" s="1" t="str">
        <f>UPPER(LEFT(Table1[[#This Row],[Region]],2))</f>
        <v>NO</v>
      </c>
      <c r="Q247" s="1" t="s">
        <v>22</v>
      </c>
      <c r="R247" s="3">
        <v>44511</v>
      </c>
      <c r="S247" s="20">
        <v>239.97</v>
      </c>
      <c r="T247" s="23">
        <f t="shared" ca="1" si="9"/>
        <v>46057</v>
      </c>
      <c r="U247" s="26">
        <f t="shared" ca="1" si="10"/>
        <v>46057.595634259262</v>
      </c>
      <c r="V247" s="25">
        <f ca="1">DATEDIF(Table1[[#This Row],[Date]],TODAY(),"d")</f>
        <v>302</v>
      </c>
      <c r="W247" s="28">
        <f>EOMONTH(Table1[[#This Row],[Date]],0)</f>
        <v>45777</v>
      </c>
      <c r="X247" s="26">
        <f t="shared" ca="1" si="11"/>
        <v>46040.622929282406</v>
      </c>
    </row>
    <row r="248" spans="1:24" ht="15.75" thickBot="1" x14ac:dyDescent="0.3">
      <c r="A248" s="5" t="s">
        <v>395</v>
      </c>
      <c r="B248" s="3">
        <v>45756</v>
      </c>
      <c r="C248" s="12" t="str">
        <f>TEXT(Table1[[#This Row],[Date]],"mmm")</f>
        <v>Apr</v>
      </c>
      <c r="D248" s="12">
        <f>YEAR(Table1[[#This Row],[Date]])</f>
        <v>2025</v>
      </c>
      <c r="E248" s="3" t="str">
        <f>TEXT(Table1[[#This Row],[Date]],"mmm-yyyy")</f>
        <v>Apr-2025</v>
      </c>
      <c r="F248" s="1" t="s">
        <v>59</v>
      </c>
      <c r="G248" s="1" t="s">
        <v>60</v>
      </c>
      <c r="H248" s="1" t="str">
        <f>LEFT(Table1[[#This Row],[Customer_Name]],1)&amp;LEFT(MID(Table1[[#This Row],[Customer_Name]],FIND(" ",Table1[[#This Row],[Customer_Name]])+1,50),1)</f>
        <v>RT</v>
      </c>
      <c r="I248" s="1" t="s">
        <v>117</v>
      </c>
      <c r="J248" s="1" t="s">
        <v>118</v>
      </c>
      <c r="K248" s="1" t="s">
        <v>19</v>
      </c>
      <c r="L248" s="12">
        <v>1</v>
      </c>
      <c r="M248" s="16">
        <v>89.99</v>
      </c>
      <c r="N248" s="1" t="s">
        <v>57</v>
      </c>
      <c r="O248" s="1" t="s">
        <v>63</v>
      </c>
      <c r="P248" s="1" t="str">
        <f>UPPER(LEFT(Table1[[#This Row],[Region]],2))</f>
        <v>EA</v>
      </c>
      <c r="Q248" s="1" t="s">
        <v>22</v>
      </c>
      <c r="R248" s="3">
        <v>45346</v>
      </c>
      <c r="S248" s="20">
        <v>89.99</v>
      </c>
      <c r="T248" s="23">
        <f t="shared" ca="1" si="9"/>
        <v>46057</v>
      </c>
      <c r="U248" s="26">
        <f t="shared" ca="1" si="10"/>
        <v>46057.595634259262</v>
      </c>
      <c r="V248" s="25">
        <f ca="1">DATEDIF(Table1[[#This Row],[Date]],TODAY(),"d")</f>
        <v>301</v>
      </c>
      <c r="W248" s="28">
        <f>EOMONTH(Table1[[#This Row],[Date]],0)</f>
        <v>45777</v>
      </c>
      <c r="X248" s="26">
        <f t="shared" ca="1" si="11"/>
        <v>46040.622929282406</v>
      </c>
    </row>
    <row r="249" spans="1:24" ht="15.75" thickBot="1" x14ac:dyDescent="0.3">
      <c r="A249" s="5" t="s">
        <v>396</v>
      </c>
      <c r="B249" s="3">
        <v>45758</v>
      </c>
      <c r="C249" s="12" t="str">
        <f>TEXT(Table1[[#This Row],[Date]],"mmm")</f>
        <v>Apr</v>
      </c>
      <c r="D249" s="12">
        <f>YEAR(Table1[[#This Row],[Date]])</f>
        <v>2025</v>
      </c>
      <c r="E249" s="3" t="str">
        <f>TEXT(Table1[[#This Row],[Date]],"mmm-yyyy")</f>
        <v>Apr-2025</v>
      </c>
      <c r="F249" s="1" t="s">
        <v>293</v>
      </c>
      <c r="G249" s="1" t="s">
        <v>294</v>
      </c>
      <c r="H249" s="1" t="str">
        <f>LEFT(Table1[[#This Row],[Customer_Name]],1)&amp;LEFT(MID(Table1[[#This Row],[Customer_Name]],FIND(" ",Table1[[#This Row],[Customer_Name]])+1,50),1)</f>
        <v>DW</v>
      </c>
      <c r="I249" s="1" t="s">
        <v>80</v>
      </c>
      <c r="J249" s="1" t="s">
        <v>81</v>
      </c>
      <c r="K249" s="1" t="s">
        <v>19</v>
      </c>
      <c r="L249" s="12">
        <v>3</v>
      </c>
      <c r="M249" s="16">
        <v>699.99</v>
      </c>
      <c r="N249" s="1" t="s">
        <v>34</v>
      </c>
      <c r="O249" s="1" t="s">
        <v>40</v>
      </c>
      <c r="P249" s="1" t="str">
        <f>UPPER(LEFT(Table1[[#This Row],[Region]],2))</f>
        <v>NO</v>
      </c>
      <c r="Q249" s="1" t="s">
        <v>22</v>
      </c>
      <c r="R249" s="3">
        <v>44909</v>
      </c>
      <c r="S249" s="20">
        <v>2099.9699999999998</v>
      </c>
      <c r="T249" s="23">
        <f t="shared" ca="1" si="9"/>
        <v>46057</v>
      </c>
      <c r="U249" s="26">
        <f t="shared" ca="1" si="10"/>
        <v>46057.595634259262</v>
      </c>
      <c r="V249" s="25">
        <f ca="1">DATEDIF(Table1[[#This Row],[Date]],TODAY(),"d")</f>
        <v>299</v>
      </c>
      <c r="W249" s="28">
        <f>EOMONTH(Table1[[#This Row],[Date]],0)</f>
        <v>45777</v>
      </c>
      <c r="X249" s="26">
        <f t="shared" ca="1" si="11"/>
        <v>46040.622929282406</v>
      </c>
    </row>
    <row r="250" spans="1:24" ht="15.75" thickBot="1" x14ac:dyDescent="0.3">
      <c r="A250" s="5" t="s">
        <v>397</v>
      </c>
      <c r="B250" s="3">
        <v>45758</v>
      </c>
      <c r="C250" s="12" t="str">
        <f>TEXT(Table1[[#This Row],[Date]],"mmm")</f>
        <v>Apr</v>
      </c>
      <c r="D250" s="12">
        <f>YEAR(Table1[[#This Row],[Date]])</f>
        <v>2025</v>
      </c>
      <c r="E250" s="3" t="str">
        <f>TEXT(Table1[[#This Row],[Date]],"mmm-yyyy")</f>
        <v>Apr-2025</v>
      </c>
      <c r="F250" s="1" t="s">
        <v>226</v>
      </c>
      <c r="G250" s="1" t="s">
        <v>227</v>
      </c>
      <c r="H250" s="1" t="str">
        <f>LEFT(Table1[[#This Row],[Customer_Name]],1)&amp;LEFT(MID(Table1[[#This Row],[Customer_Name]],FIND(" ",Table1[[#This Row],[Customer_Name]])+1,50),1)</f>
        <v>LR</v>
      </c>
      <c r="I250" s="1" t="s">
        <v>117</v>
      </c>
      <c r="J250" s="1" t="s">
        <v>118</v>
      </c>
      <c r="K250" s="1" t="s">
        <v>19</v>
      </c>
      <c r="L250" s="12">
        <v>2</v>
      </c>
      <c r="M250" s="16">
        <v>89.99</v>
      </c>
      <c r="N250" s="1" t="s">
        <v>57</v>
      </c>
      <c r="O250" s="1" t="s">
        <v>63</v>
      </c>
      <c r="P250" s="1" t="str">
        <f>UPPER(LEFT(Table1[[#This Row],[Region]],2))</f>
        <v>EA</v>
      </c>
      <c r="Q250" s="1" t="s">
        <v>22</v>
      </c>
      <c r="R250" s="3">
        <v>45088</v>
      </c>
      <c r="S250" s="20">
        <v>179.98</v>
      </c>
      <c r="T250" s="23">
        <f t="shared" ca="1" si="9"/>
        <v>46057</v>
      </c>
      <c r="U250" s="26">
        <f t="shared" ca="1" si="10"/>
        <v>46057.595634259262</v>
      </c>
      <c r="V250" s="25">
        <f ca="1">DATEDIF(Table1[[#This Row],[Date]],TODAY(),"d")</f>
        <v>299</v>
      </c>
      <c r="W250" s="28">
        <f>EOMONTH(Table1[[#This Row],[Date]],0)</f>
        <v>45777</v>
      </c>
      <c r="X250" s="26">
        <f t="shared" ca="1" si="11"/>
        <v>46040.622929282406</v>
      </c>
    </row>
    <row r="251" spans="1:24" ht="15.75" thickBot="1" x14ac:dyDescent="0.3">
      <c r="A251" s="8" t="s">
        <v>398</v>
      </c>
      <c r="B251" s="9">
        <v>45758</v>
      </c>
      <c r="C251" s="12" t="str">
        <f>TEXT(Table1[[#This Row],[Date]],"mmm")</f>
        <v>Apr</v>
      </c>
      <c r="D251" s="13">
        <f>YEAR(Table1[[#This Row],[Date]])</f>
        <v>2025</v>
      </c>
      <c r="E251" s="9" t="str">
        <f>TEXT(Table1[[#This Row],[Date]],"mmm-yyyy")</f>
        <v>Apr-2025</v>
      </c>
      <c r="F251" s="10" t="s">
        <v>138</v>
      </c>
      <c r="G251" s="10" t="s">
        <v>139</v>
      </c>
      <c r="H251" s="10" t="str">
        <f>LEFT(Table1[[#This Row],[Customer_Name]],1)&amp;LEFT(MID(Table1[[#This Row],[Customer_Name]],FIND(" ",Table1[[#This Row],[Customer_Name]])+1,50),1)</f>
        <v>ST</v>
      </c>
      <c r="I251" s="10" t="s">
        <v>117</v>
      </c>
      <c r="J251" s="10" t="s">
        <v>118</v>
      </c>
      <c r="K251" s="10" t="s">
        <v>19</v>
      </c>
      <c r="L251" s="13">
        <v>3</v>
      </c>
      <c r="M251" s="17">
        <v>89.99</v>
      </c>
      <c r="N251" s="10" t="s">
        <v>57</v>
      </c>
      <c r="O251" s="10" t="s">
        <v>40</v>
      </c>
      <c r="P251" s="10" t="str">
        <f>UPPER(LEFT(Table1[[#This Row],[Region]],2))</f>
        <v>NO</v>
      </c>
      <c r="Q251" s="10" t="s">
        <v>27</v>
      </c>
      <c r="R251" s="9">
        <v>44878</v>
      </c>
      <c r="S251" s="21">
        <v>269.97000000000003</v>
      </c>
      <c r="T251" s="24">
        <f t="shared" ca="1" si="9"/>
        <v>46057</v>
      </c>
      <c r="U251" s="26">
        <f t="shared" ca="1" si="10"/>
        <v>46057.595634259262</v>
      </c>
      <c r="V251" s="25">
        <f ca="1">DATEDIF(Table1[[#This Row],[Date]],TODAY(),"d")</f>
        <v>299</v>
      </c>
      <c r="W251" s="28">
        <f>EOMONTH(Table1[[#This Row],[Date]],0)</f>
        <v>45777</v>
      </c>
      <c r="X251" s="26">
        <f t="shared" ca="1" si="11"/>
        <v>46040.622929282406</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D12AC-E50A-415A-9961-60ABE37124A0}">
  <dimension ref="A1:L51"/>
  <sheetViews>
    <sheetView workbookViewId="0">
      <selection activeCell="M12" sqref="M12"/>
    </sheetView>
  </sheetViews>
  <sheetFormatPr defaultRowHeight="15" x14ac:dyDescent="0.25"/>
  <cols>
    <col min="1" max="1" width="19.5703125" customWidth="1"/>
    <col min="2" max="2" width="22.5703125" bestFit="1" customWidth="1"/>
    <col min="4" max="4" width="16.28515625" customWidth="1"/>
    <col min="5" max="5" width="20.140625" bestFit="1" customWidth="1"/>
    <col min="7" max="7" width="19.5703125" customWidth="1"/>
    <col min="8" max="8" width="11.85546875" bestFit="1" customWidth="1"/>
    <col min="9" max="9" width="18" bestFit="1" customWidth="1"/>
    <col min="10" max="10" width="11.85546875" customWidth="1"/>
    <col min="11" max="11" width="21.28515625" customWidth="1"/>
    <col min="12" max="12" width="24.7109375" bestFit="1" customWidth="1"/>
    <col min="14" max="14" width="15.42578125" bestFit="1" customWidth="1"/>
  </cols>
  <sheetData>
    <row r="1" spans="1:12" x14ac:dyDescent="0.25">
      <c r="A1" s="64" t="s">
        <v>3</v>
      </c>
      <c r="B1" s="65" t="s">
        <v>405</v>
      </c>
      <c r="D1" s="64" t="s">
        <v>5</v>
      </c>
      <c r="E1" s="65" t="s">
        <v>406</v>
      </c>
      <c r="G1" s="64" t="s">
        <v>3</v>
      </c>
      <c r="H1" s="66" t="s">
        <v>407</v>
      </c>
      <c r="I1" s="65" t="s">
        <v>485</v>
      </c>
      <c r="K1" s="64" t="s">
        <v>5</v>
      </c>
      <c r="L1" s="65" t="s">
        <v>408</v>
      </c>
    </row>
    <row r="2" spans="1:12" x14ac:dyDescent="0.25">
      <c r="A2" s="59" t="str" cm="1">
        <f t="array" ref="A2:A51">_xlfn.UNIQUE(Table1[Customer_Name])</f>
        <v>Paul Baker</v>
      </c>
      <c r="B2" s="60">
        <f>SUMIF(Table1[Customer_Name],'groupby using formulas'!A2,Table1[Total_Amount])</f>
        <v>8309.739999999998</v>
      </c>
      <c r="D2" s="59" t="str" cm="1">
        <f t="array" ref="D2:D11">_xlfn.UNIQUE(Table1[Product_Name])</f>
        <v>Monitor</v>
      </c>
      <c r="E2" s="60">
        <f>SUMIF(Table1[Product_Name],D2,Table1[Total_Amount])</f>
        <v>21999.119999999999</v>
      </c>
      <c r="G2" s="59" t="str" cm="1">
        <f t="array" ref="G2:G51">_xlfn.UNIQUE(Table1[Customer_Name])</f>
        <v>Paul Baker</v>
      </c>
      <c r="H2" s="57">
        <f>COUNTIF(Table1[Customer_Name],G2)</f>
        <v>8</v>
      </c>
      <c r="I2" s="60" t="str">
        <f t="shared" ref="I2:I33" si="0">IF(COUNTIF($K$21:$K$27,G2)&gt;0,"Match","No Match")</f>
        <v>No Match</v>
      </c>
      <c r="K2" s="59" t="str" cm="1">
        <f t="array" ref="K2:K11">_xlfn.UNIQUE(Table1[Product_Name])</f>
        <v>Monitor</v>
      </c>
      <c r="L2" s="60">
        <f>COUNTIF(Table1[Product_Name],K2)</f>
        <v>26</v>
      </c>
    </row>
    <row r="3" spans="1:12" x14ac:dyDescent="0.25">
      <c r="A3" s="59" t="str">
        <v>Joseph Jackson</v>
      </c>
      <c r="B3" s="60">
        <f>SUMIF(Table1[Customer_Name],'groupby using formulas'!A3,Table1[Total_Amount])</f>
        <v>6949.84</v>
      </c>
      <c r="D3" s="59" t="str">
        <v>Blender</v>
      </c>
      <c r="E3" s="60">
        <f>SUMIF(Table1[Product_Name],D3,Table1[Total_Amount])</f>
        <v>5219.1299999999974</v>
      </c>
      <c r="G3" s="59" t="str">
        <v>Joseph Jackson</v>
      </c>
      <c r="H3" s="57">
        <f>COUNTIF(Table1[Customer_Name],G3)</f>
        <v>5</v>
      </c>
      <c r="I3" s="60" t="str">
        <f t="shared" si="0"/>
        <v>No Match</v>
      </c>
      <c r="K3" s="59" t="str">
        <v>Blender</v>
      </c>
      <c r="L3" s="60">
        <f>COUNTIF(Table1[Product_Name],K3)</f>
        <v>29</v>
      </c>
    </row>
    <row r="4" spans="1:12" x14ac:dyDescent="0.25">
      <c r="A4" s="59" t="str">
        <v>Kevin Scott</v>
      </c>
      <c r="B4" s="60">
        <f>SUMIF(Table1[Customer_Name],'groupby using formulas'!A4,Table1[Total_Amount])</f>
        <v>3259.87</v>
      </c>
      <c r="D4" s="59" t="str">
        <v>Bookshelf</v>
      </c>
      <c r="E4" s="60">
        <f>SUMIF(Table1[Product_Name],D4,Table1[Total_Amount])</f>
        <v>15298.979999999994</v>
      </c>
      <c r="G4" s="59" t="str">
        <v>Kevin Scott</v>
      </c>
      <c r="H4" s="57">
        <f>COUNTIF(Table1[Customer_Name],G4)</f>
        <v>6</v>
      </c>
      <c r="I4" s="60" t="str">
        <f t="shared" si="0"/>
        <v>No Match</v>
      </c>
      <c r="K4" s="59" t="str">
        <v>Bookshelf</v>
      </c>
      <c r="L4" s="60">
        <f>COUNTIF(Table1[Product_Name],K4)</f>
        <v>35</v>
      </c>
    </row>
    <row r="5" spans="1:12" x14ac:dyDescent="0.25">
      <c r="A5" s="59" t="str">
        <v>Kathleen Bennett</v>
      </c>
      <c r="B5" s="60">
        <f>SUMIF(Table1[Customer_Name],'groupby using formulas'!A5,Table1[Total_Amount])</f>
        <v>4309.8099999999995</v>
      </c>
      <c r="D5" s="59" t="str">
        <v>Headphones</v>
      </c>
      <c r="E5" s="60">
        <f>SUMIF(Table1[Product_Name],D5,Table1[Total_Amount])</f>
        <v>7049.5299999999988</v>
      </c>
      <c r="G5" s="59" t="str">
        <v>Kathleen Bennett</v>
      </c>
      <c r="H5" s="57">
        <f>COUNTIF(Table1[Customer_Name],G5)</f>
        <v>6</v>
      </c>
      <c r="I5" s="60" t="str">
        <f t="shared" si="0"/>
        <v>No Match</v>
      </c>
      <c r="K5" s="59" t="str">
        <v>Headphones</v>
      </c>
      <c r="L5" s="60">
        <f>COUNTIF(Table1[Product_Name],K5)</f>
        <v>16</v>
      </c>
    </row>
    <row r="6" spans="1:12" x14ac:dyDescent="0.25">
      <c r="A6" s="59" t="str">
        <v>Michael Brown</v>
      </c>
      <c r="B6" s="60">
        <f>SUMIF(Table1[Customer_Name],'groupby using formulas'!A6,Table1[Total_Amount])</f>
        <v>6169.7400000000007</v>
      </c>
      <c r="D6" s="59" t="str">
        <v>Laptop</v>
      </c>
      <c r="E6" s="60">
        <f>SUMIF(Table1[Product_Name],D6,Table1[Total_Amount])</f>
        <v>67499.25</v>
      </c>
      <c r="G6" s="59" t="str">
        <v>Michael Brown</v>
      </c>
      <c r="H6" s="57">
        <f>COUNTIF(Table1[Customer_Name],G6)</f>
        <v>9</v>
      </c>
      <c r="I6" s="60" t="str">
        <f t="shared" si="0"/>
        <v>No Match</v>
      </c>
      <c r="K6" s="59" t="str">
        <v>Laptop</v>
      </c>
      <c r="L6" s="60">
        <f>COUNTIF(Table1[Product_Name],K6)</f>
        <v>24</v>
      </c>
    </row>
    <row r="7" spans="1:12" x14ac:dyDescent="0.25">
      <c r="A7" s="59" t="str">
        <v>Dorothy Nelson</v>
      </c>
      <c r="B7" s="60">
        <f>SUMIF(Table1[Customer_Name],'groupby using formulas'!A7,Table1[Total_Amount])</f>
        <v>8269.7900000000009</v>
      </c>
      <c r="D7" s="59" t="str">
        <v>Smartphone</v>
      </c>
      <c r="E7" s="60">
        <f>SUMIF(Table1[Product_Name],D7,Table1[Total_Amount])</f>
        <v>67199.039999999994</v>
      </c>
      <c r="G7" s="59" t="str">
        <v>Dorothy Nelson</v>
      </c>
      <c r="H7" s="57">
        <f>COUNTIF(Table1[Customer_Name],G7)</f>
        <v>6</v>
      </c>
      <c r="I7" s="60" t="str">
        <f t="shared" si="0"/>
        <v>No Match</v>
      </c>
      <c r="K7" s="59" t="str">
        <v>Smartphone</v>
      </c>
      <c r="L7" s="60">
        <f>COUNTIF(Table1[Product_Name],K7)</f>
        <v>31</v>
      </c>
    </row>
    <row r="8" spans="1:12" x14ac:dyDescent="0.25">
      <c r="A8" s="59" t="str">
        <v>Charles Allen</v>
      </c>
      <c r="B8" s="60">
        <f>SUMIF(Table1[Customer_Name],'groupby using formulas'!A8,Table1[Total_Amount])</f>
        <v>5089.7300000000005</v>
      </c>
      <c r="D8" s="59" t="str">
        <v>Desk</v>
      </c>
      <c r="E8" s="60">
        <f>SUMIF(Table1[Product_Name],D8,Table1[Total_Amount])</f>
        <v>23399.22</v>
      </c>
      <c r="G8" s="59" t="str">
        <v>Charles Allen</v>
      </c>
      <c r="H8" s="57">
        <f>COUNTIF(Table1[Customer_Name],G8)</f>
        <v>9</v>
      </c>
      <c r="I8" s="60" t="str">
        <f t="shared" si="0"/>
        <v>No Match</v>
      </c>
      <c r="K8" s="59" t="str">
        <v>Desk</v>
      </c>
      <c r="L8" s="60">
        <f>COUNTIF(Table1[Product_Name],K8)</f>
        <v>26</v>
      </c>
    </row>
    <row r="9" spans="1:12" x14ac:dyDescent="0.25">
      <c r="A9" s="59" t="str">
        <v>Robert Thomas</v>
      </c>
      <c r="B9" s="60">
        <f>SUMIF(Table1[Customer_Name],'groupby using formulas'!A9,Table1[Total_Amount])</f>
        <v>3509.8999999999996</v>
      </c>
      <c r="D9" s="59" t="str">
        <v>Coffee Maker</v>
      </c>
      <c r="E9" s="60">
        <f>SUMIF(Table1[Product_Name],D9,Table1[Total_Amount])</f>
        <v>3119.6099999999992</v>
      </c>
      <c r="G9" s="59" t="str">
        <v>Robert Thomas</v>
      </c>
      <c r="H9" s="57">
        <f>COUNTIF(Table1[Customer_Name],G9)</f>
        <v>5</v>
      </c>
      <c r="I9" s="60" t="str">
        <f t="shared" si="0"/>
        <v>No Match</v>
      </c>
      <c r="K9" s="59" t="str">
        <v>Coffee Maker</v>
      </c>
      <c r="L9" s="60">
        <f>COUNTIF(Table1[Product_Name],K9)</f>
        <v>14</v>
      </c>
    </row>
    <row r="10" spans="1:12" x14ac:dyDescent="0.25">
      <c r="A10" s="59" t="str">
        <v>Karen Hill</v>
      </c>
      <c r="B10" s="60">
        <f>SUMIF(Table1[Customer_Name],'groupby using formulas'!A10,Table1[Total_Amount])</f>
        <v>8009.7699999999995</v>
      </c>
      <c r="D10" s="59" t="str">
        <v>Keyboard</v>
      </c>
      <c r="E10" s="60">
        <f>SUMIF(Table1[Product_Name],D10,Table1[Total_Amount])</f>
        <v>8009.1099999999969</v>
      </c>
      <c r="G10" s="59" t="str">
        <v>Karen Hill</v>
      </c>
      <c r="H10" s="57">
        <f>COUNTIF(Table1[Customer_Name],G10)</f>
        <v>8</v>
      </c>
      <c r="I10" s="60" t="str">
        <f t="shared" si="0"/>
        <v>No Match</v>
      </c>
      <c r="K10" s="59" t="str">
        <v>Keyboard</v>
      </c>
      <c r="L10" s="60">
        <f>COUNTIF(Table1[Product_Name],K10)</f>
        <v>34</v>
      </c>
    </row>
    <row r="11" spans="1:12" ht="15.75" thickBot="1" x14ac:dyDescent="0.3">
      <c r="A11" s="59" t="str">
        <v>Susan Green</v>
      </c>
      <c r="B11" s="60">
        <f>SUMIF(Table1[Customer_Name],'groupby using formulas'!A11,Table1[Total_Amount])</f>
        <v>1979.89</v>
      </c>
      <c r="D11" s="61" t="str">
        <v>Office Chair</v>
      </c>
      <c r="E11" s="62">
        <f>SUMIF(Table1[Product_Name],D11,Table1[Total_Amount])</f>
        <v>10399.479999999998</v>
      </c>
      <c r="G11" s="59" t="str">
        <v>Susan Green</v>
      </c>
      <c r="H11" s="57">
        <f>COUNTIF(Table1[Customer_Name],G11)</f>
        <v>4</v>
      </c>
      <c r="I11" s="60" t="str">
        <f t="shared" si="0"/>
        <v>No Match</v>
      </c>
      <c r="K11" s="61" t="str">
        <v>Office Chair</v>
      </c>
      <c r="L11" s="62">
        <f>COUNTIF(Table1[Product_Name],K11)</f>
        <v>15</v>
      </c>
    </row>
    <row r="12" spans="1:12" x14ac:dyDescent="0.25">
      <c r="A12" s="59" t="str">
        <v>Peter Richardson</v>
      </c>
      <c r="B12" s="60">
        <f>SUMIF(Table1[Customer_Name],'groupby using formulas'!A12,Table1[Total_Amount])</f>
        <v>5949.85</v>
      </c>
      <c r="G12" s="59" t="str">
        <v>Peter Richardson</v>
      </c>
      <c r="H12" s="57">
        <f>COUNTIF(Table1[Customer_Name],G12)</f>
        <v>5</v>
      </c>
      <c r="I12" s="60" t="str">
        <f t="shared" si="0"/>
        <v>No Match</v>
      </c>
    </row>
    <row r="13" spans="1:12" ht="15.75" thickBot="1" x14ac:dyDescent="0.3">
      <c r="A13" s="59" t="str">
        <v>Dennis Gray</v>
      </c>
      <c r="B13" s="60">
        <f>SUMIF(Table1[Customer_Name],'groupby using formulas'!A13,Table1[Total_Amount])</f>
        <v>479.91999999999996</v>
      </c>
      <c r="G13" s="59" t="str">
        <v>Dennis Gray</v>
      </c>
      <c r="H13" s="57">
        <f>COUNTIF(Table1[Customer_Name],G13)</f>
        <v>2</v>
      </c>
      <c r="I13" s="60" t="str">
        <f t="shared" si="0"/>
        <v>No Match</v>
      </c>
    </row>
    <row r="14" spans="1:12" x14ac:dyDescent="0.25">
      <c r="A14" s="59" t="str">
        <v>Michelle Rogers</v>
      </c>
      <c r="B14" s="60">
        <f>SUMIF(Table1[Customer_Name],'groupby using formulas'!A14,Table1[Total_Amount])</f>
        <v>4199.9399999999996</v>
      </c>
      <c r="G14" s="59" t="str">
        <v>Michelle Rogers</v>
      </c>
      <c r="H14" s="57">
        <f>COUNTIF(Table1[Customer_Name],G14)</f>
        <v>2</v>
      </c>
      <c r="I14" s="60" t="str">
        <f t="shared" si="0"/>
        <v>No Match</v>
      </c>
      <c r="K14" s="67" t="s">
        <v>483</v>
      </c>
      <c r="L14" s="68" t="s">
        <v>484</v>
      </c>
    </row>
    <row r="15" spans="1:12" ht="15.75" thickBot="1" x14ac:dyDescent="0.3">
      <c r="A15" s="59" t="str">
        <v>George Adams</v>
      </c>
      <c r="B15" s="60">
        <f>SUMIF(Table1[Customer_Name],'groupby using formulas'!A15,Table1[Total_Amount])</f>
        <v>3779.93</v>
      </c>
      <c r="G15" s="59" t="str">
        <v>George Adams</v>
      </c>
      <c r="H15" s="57">
        <f>COUNTIF(Table1[Customer_Name],G15)</f>
        <v>3</v>
      </c>
      <c r="I15" s="60" t="str">
        <f t="shared" si="0"/>
        <v>No Match</v>
      </c>
      <c r="K15" s="58" t="str">
        <f>INDEX(K2:K11,MATCH(MAX(L2:L11),L2:L11,0))</f>
        <v>Bookshelf</v>
      </c>
      <c r="L15" s="58" t="str">
        <f>INDEX(G2:G51,MATCH(MAX(H2:H51),H2:H51,0))</f>
        <v>Mark Carter</v>
      </c>
    </row>
    <row r="16" spans="1:12" x14ac:dyDescent="0.25">
      <c r="A16" s="59" t="str">
        <v>Mark Carter</v>
      </c>
      <c r="B16" s="60">
        <f>SUMIF(Table1[Customer_Name],'groupby using formulas'!A16,Table1[Total_Amount])</f>
        <v>15659.65</v>
      </c>
      <c r="G16" s="59" t="str">
        <v>Mark Carter</v>
      </c>
      <c r="H16" s="57">
        <f>COUNTIF(Table1[Customer_Name],G16)</f>
        <v>12</v>
      </c>
      <c r="I16" s="60" t="str">
        <f t="shared" si="0"/>
        <v>No Match</v>
      </c>
    </row>
    <row r="17" spans="1:9" x14ac:dyDescent="0.25">
      <c r="A17" s="59" t="str">
        <v>Maria Garcia</v>
      </c>
      <c r="B17" s="60">
        <f>SUMIF(Table1[Customer_Name],'groupby using formulas'!A17,Table1[Total_Amount])</f>
        <v>1909.93</v>
      </c>
      <c r="G17" s="59" t="str">
        <v>Maria Garcia</v>
      </c>
      <c r="H17" s="57">
        <f>COUNTIF(Table1[Customer_Name],G17)</f>
        <v>4</v>
      </c>
      <c r="I17" s="60" t="str">
        <f t="shared" si="0"/>
        <v>No Match</v>
      </c>
    </row>
    <row r="18" spans="1:9" x14ac:dyDescent="0.25">
      <c r="A18" s="59" t="str">
        <v>Virginia Sanders</v>
      </c>
      <c r="B18" s="60">
        <f>SUMIF(Table1[Customer_Name],'groupby using formulas'!A18,Table1[Total_Amount])</f>
        <v>4789.7900000000009</v>
      </c>
      <c r="G18" s="59" t="str">
        <v>Virginia Sanders</v>
      </c>
      <c r="H18" s="57">
        <f>COUNTIF(Table1[Customer_Name],G18)</f>
        <v>6</v>
      </c>
      <c r="I18" s="60" t="str">
        <f t="shared" si="0"/>
        <v>No Match</v>
      </c>
    </row>
    <row r="19" spans="1:9" x14ac:dyDescent="0.25">
      <c r="A19" s="59" t="str">
        <v>Barbara Young</v>
      </c>
      <c r="B19" s="60">
        <f>SUMIF(Table1[Customer_Name],'groupby using formulas'!A19,Table1[Total_Amount])</f>
        <v>10649.8</v>
      </c>
      <c r="G19" s="59" t="str">
        <v>Barbara Young</v>
      </c>
      <c r="H19" s="57">
        <f>COUNTIF(Table1[Customer_Name],G19)</f>
        <v>5</v>
      </c>
      <c r="I19" s="60" t="str">
        <f t="shared" si="0"/>
        <v>No Match</v>
      </c>
    </row>
    <row r="20" spans="1:9" x14ac:dyDescent="0.25">
      <c r="A20" s="59" t="str">
        <v>Patricia Moore</v>
      </c>
      <c r="B20" s="60">
        <f>SUMIF(Table1[Customer_Name],'groupby using formulas'!A20,Table1[Total_Amount])</f>
        <v>9799.73</v>
      </c>
      <c r="G20" s="59" t="str">
        <v>Patricia Moore</v>
      </c>
      <c r="H20" s="57">
        <f>COUNTIF(Table1[Customer_Name],G20)</f>
        <v>8</v>
      </c>
      <c r="I20" s="60" t="str">
        <f t="shared" si="0"/>
        <v>No Match</v>
      </c>
    </row>
    <row r="21" spans="1:9" x14ac:dyDescent="0.25">
      <c r="A21" s="59" t="str">
        <v>Cynthia Price</v>
      </c>
      <c r="B21" s="60">
        <f>SUMIF(Table1[Customer_Name],'groupby using formulas'!A21,Table1[Total_Amount])</f>
        <v>3769.8300000000004</v>
      </c>
      <c r="G21" s="59" t="str">
        <v>Cynthia Price</v>
      </c>
      <c r="H21" s="57">
        <f>COUNTIF(Table1[Customer_Name],G21)</f>
        <v>5</v>
      </c>
      <c r="I21" s="60" t="str">
        <f t="shared" si="0"/>
        <v>No Match</v>
      </c>
    </row>
    <row r="22" spans="1:9" x14ac:dyDescent="0.25">
      <c r="A22" s="59" t="str">
        <v>Nancy Collins</v>
      </c>
      <c r="B22" s="60">
        <f>SUMIF(Table1[Customer_Name],'groupby using formulas'!A22,Table1[Total_Amount])</f>
        <v>4189.7700000000004</v>
      </c>
      <c r="G22" s="59" t="str">
        <v>Nancy Collins</v>
      </c>
      <c r="H22" s="57">
        <f>COUNTIF(Table1[Customer_Name],G22)</f>
        <v>6</v>
      </c>
      <c r="I22" s="60" t="str">
        <f t="shared" si="0"/>
        <v>No Match</v>
      </c>
    </row>
    <row r="23" spans="1:9" x14ac:dyDescent="0.25">
      <c r="A23" s="59" t="str">
        <v>Linda Martin</v>
      </c>
      <c r="B23" s="60">
        <f>SUMIF(Table1[Customer_Name],'groupby using formulas'!A23,Table1[Total_Amount])</f>
        <v>1289.9000000000001</v>
      </c>
      <c r="G23" s="59" t="str">
        <v>Linda Martin</v>
      </c>
      <c r="H23" s="57">
        <f>COUNTIF(Table1[Customer_Name],G23)</f>
        <v>4</v>
      </c>
      <c r="I23" s="60" t="str">
        <f t="shared" si="0"/>
        <v>No Match</v>
      </c>
    </row>
    <row r="24" spans="1:9" x14ac:dyDescent="0.25">
      <c r="A24" s="59" t="str">
        <v>Helen Roberts</v>
      </c>
      <c r="B24" s="60">
        <f>SUMIF(Table1[Customer_Name],'groupby using formulas'!A24,Table1[Total_Amount])</f>
        <v>6459.79</v>
      </c>
      <c r="G24" s="59" t="str">
        <v>Helen Roberts</v>
      </c>
      <c r="H24" s="57">
        <f>COUNTIF(Table1[Customer_Name],G24)</f>
        <v>7</v>
      </c>
      <c r="I24" s="60" t="str">
        <f t="shared" si="0"/>
        <v>No Match</v>
      </c>
    </row>
    <row r="25" spans="1:9" x14ac:dyDescent="0.25">
      <c r="A25" s="59" t="str">
        <v>Edward Mitchell</v>
      </c>
      <c r="B25" s="60">
        <f>SUMIF(Table1[Customer_Name],'groupby using formulas'!A25,Table1[Total_Amount])</f>
        <v>11919.769999999999</v>
      </c>
      <c r="G25" s="59" t="str">
        <v>Edward Mitchell</v>
      </c>
      <c r="H25" s="57">
        <f>COUNTIF(Table1[Customer_Name],G25)</f>
        <v>6</v>
      </c>
      <c r="I25" s="60" t="str">
        <f t="shared" si="0"/>
        <v>No Match</v>
      </c>
    </row>
    <row r="26" spans="1:9" x14ac:dyDescent="0.25">
      <c r="A26" s="59" t="str">
        <v>Lisa Anderson</v>
      </c>
      <c r="B26" s="60">
        <f>SUMIF(Table1[Customer_Name],'groupby using formulas'!A26,Table1[Total_Amount])</f>
        <v>2039.8000000000002</v>
      </c>
      <c r="G26" s="59" t="str">
        <v>Lisa Anderson</v>
      </c>
      <c r="H26" s="57">
        <f>COUNTIF(Table1[Customer_Name],G26)</f>
        <v>5</v>
      </c>
      <c r="I26" s="60" t="str">
        <f t="shared" si="0"/>
        <v>No Match</v>
      </c>
    </row>
    <row r="27" spans="1:9" x14ac:dyDescent="0.25">
      <c r="A27" s="59" t="str">
        <v>Emma Wilson</v>
      </c>
      <c r="B27" s="60">
        <f>SUMIF(Table1[Customer_Name],'groupby using formulas'!A27,Table1[Total_Amount])</f>
        <v>1229.8800000000001</v>
      </c>
      <c r="G27" s="59" t="str">
        <v>Emma Wilson</v>
      </c>
      <c r="H27" s="57">
        <f>COUNTIF(Table1[Customer_Name],G27)</f>
        <v>5</v>
      </c>
      <c r="I27" s="60" t="str">
        <f t="shared" si="0"/>
        <v>No Match</v>
      </c>
    </row>
    <row r="28" spans="1:9" x14ac:dyDescent="0.25">
      <c r="A28" s="59" t="str">
        <v>Steven Turner</v>
      </c>
      <c r="B28" s="60">
        <f>SUMIF(Table1[Customer_Name],'groupby using formulas'!A28,Table1[Total_Amount])</f>
        <v>2649.83</v>
      </c>
      <c r="G28" s="59" t="str">
        <v>Steven Turner</v>
      </c>
      <c r="H28" s="57">
        <f>COUNTIF(Table1[Customer_Name],G28)</f>
        <v>6</v>
      </c>
      <c r="I28" s="60" t="str">
        <f t="shared" si="0"/>
        <v>No Match</v>
      </c>
    </row>
    <row r="29" spans="1:9" x14ac:dyDescent="0.25">
      <c r="A29" s="59" t="str">
        <v>Jennifer Taylor</v>
      </c>
      <c r="B29" s="60">
        <f>SUMIF(Table1[Customer_Name],'groupby using formulas'!A29,Table1[Total_Amount])</f>
        <v>4739.8500000000004</v>
      </c>
      <c r="G29" s="59" t="str">
        <v>Jennifer Taylor</v>
      </c>
      <c r="H29" s="57">
        <f>COUNTIF(Table1[Customer_Name],G29)</f>
        <v>4</v>
      </c>
      <c r="I29" s="60" t="str">
        <f t="shared" si="0"/>
        <v>No Match</v>
      </c>
    </row>
    <row r="30" spans="1:9" x14ac:dyDescent="0.25">
      <c r="A30" s="59" t="str">
        <v>Harry Morgan</v>
      </c>
      <c r="B30" s="60">
        <f>SUMIF(Table1[Customer_Name],'groupby using formulas'!A30,Table1[Total_Amount])</f>
        <v>5519.8899999999994</v>
      </c>
      <c r="G30" s="59" t="str">
        <v>Harry Morgan</v>
      </c>
      <c r="H30" s="57">
        <f>COUNTIF(Table1[Customer_Name],G30)</f>
        <v>4</v>
      </c>
      <c r="I30" s="60" t="str">
        <f t="shared" si="0"/>
        <v>No Match</v>
      </c>
    </row>
    <row r="31" spans="1:9" x14ac:dyDescent="0.25">
      <c r="A31" s="59" t="str">
        <v>Daniel King</v>
      </c>
      <c r="B31" s="60">
        <f>SUMIF(Table1[Customer_Name],'groupby using formulas'!A31,Table1[Total_Amount])</f>
        <v>7309.7999999999993</v>
      </c>
      <c r="G31" s="59" t="str">
        <v>Daniel King</v>
      </c>
      <c r="H31" s="57">
        <f>COUNTIF(Table1[Customer_Name],G31)</f>
        <v>7</v>
      </c>
      <c r="I31" s="60" t="str">
        <f t="shared" si="0"/>
        <v>No Match</v>
      </c>
    </row>
    <row r="32" spans="1:9" x14ac:dyDescent="0.25">
      <c r="A32" s="59" t="str">
        <v>Sharon Butler</v>
      </c>
      <c r="B32" s="60">
        <f>SUMIF(Table1[Customer_Name],'groupby using formulas'!A32,Table1[Total_Amount])</f>
        <v>5619.869999999999</v>
      </c>
      <c r="G32" s="59" t="str">
        <v>Sharon Butler</v>
      </c>
      <c r="H32" s="57">
        <f>COUNTIF(Table1[Customer_Name],G32)</f>
        <v>6</v>
      </c>
      <c r="I32" s="60" t="str">
        <f t="shared" si="0"/>
        <v>No Match</v>
      </c>
    </row>
    <row r="33" spans="1:9" x14ac:dyDescent="0.25">
      <c r="A33" s="59" t="str">
        <v>Sarah Davis</v>
      </c>
      <c r="B33" s="60">
        <f>SUMIF(Table1[Customer_Name],'groupby using formulas'!A33,Table1[Total_Amount])</f>
        <v>5499.8099999999995</v>
      </c>
      <c r="G33" s="59" t="str">
        <v>Sarah Davis</v>
      </c>
      <c r="H33" s="57">
        <f>COUNTIF(Table1[Customer_Name],G33)</f>
        <v>5</v>
      </c>
      <c r="I33" s="60" t="str">
        <f t="shared" si="0"/>
        <v>No Match</v>
      </c>
    </row>
    <row r="34" spans="1:9" x14ac:dyDescent="0.25">
      <c r="A34" s="59" t="str">
        <v>Betty Campbell</v>
      </c>
      <c r="B34" s="60">
        <f>SUMIF(Table1[Customer_Name],'groupby using formulas'!A34,Table1[Total_Amount])</f>
        <v>5649.84</v>
      </c>
      <c r="G34" s="59" t="str">
        <v>Betty Campbell</v>
      </c>
      <c r="H34" s="57">
        <f>COUNTIF(Table1[Customer_Name],G34)</f>
        <v>5</v>
      </c>
      <c r="I34" s="60" t="str">
        <f t="shared" ref="I34:I51" si="1">IF(COUNTIF($K$21:$K$27,G34)&gt;0,"Match","No Match")</f>
        <v>No Match</v>
      </c>
    </row>
    <row r="35" spans="1:9" x14ac:dyDescent="0.25">
      <c r="A35" s="59" t="str">
        <v>Julie Foster</v>
      </c>
      <c r="B35" s="60">
        <f>SUMIF(Table1[Customer_Name],'groupby using formulas'!A35,Table1[Total_Amount])</f>
        <v>239.96</v>
      </c>
      <c r="G35" s="59" t="str">
        <v>Julie Foster</v>
      </c>
      <c r="H35" s="57">
        <f>COUNTIF(Table1[Customer_Name],G35)</f>
        <v>1</v>
      </c>
      <c r="I35" s="60" t="str">
        <f t="shared" si="1"/>
        <v>No Match</v>
      </c>
    </row>
    <row r="36" spans="1:9" x14ac:dyDescent="0.25">
      <c r="A36" s="59" t="str">
        <v>Raymond Ross</v>
      </c>
      <c r="B36" s="60">
        <f>SUMIF(Table1[Customer_Name],'groupby using formulas'!A36,Table1[Total_Amount])</f>
        <v>3669.8500000000004</v>
      </c>
      <c r="G36" s="59" t="str">
        <v>Raymond Ross</v>
      </c>
      <c r="H36" s="57">
        <f>COUNTIF(Table1[Customer_Name],G36)</f>
        <v>4</v>
      </c>
      <c r="I36" s="60" t="str">
        <f t="shared" si="1"/>
        <v>No Match</v>
      </c>
    </row>
    <row r="37" spans="1:9" x14ac:dyDescent="0.25">
      <c r="A37" s="59" t="str">
        <v>David Martinez</v>
      </c>
      <c r="B37" s="60">
        <f>SUMIF(Table1[Customer_Name],'groupby using formulas'!A37,Table1[Total_Amount])</f>
        <v>1809.84</v>
      </c>
      <c r="G37" s="59" t="str">
        <v>David Martinez</v>
      </c>
      <c r="H37" s="57">
        <f>COUNTIF(Table1[Customer_Name],G37)</f>
        <v>6</v>
      </c>
      <c r="I37" s="60" t="str">
        <f t="shared" si="1"/>
        <v>No Match</v>
      </c>
    </row>
    <row r="38" spans="1:9" x14ac:dyDescent="0.25">
      <c r="A38" s="59" t="str">
        <v>Margaret Wright</v>
      </c>
      <c r="B38" s="60">
        <f>SUMIF(Table1[Customer_Name],'groupby using formulas'!A38,Table1[Total_Amount])</f>
        <v>2099.88</v>
      </c>
      <c r="G38" s="59" t="str">
        <v>Margaret Wright</v>
      </c>
      <c r="H38" s="57">
        <f>COUNTIF(Table1[Customer_Name],G38)</f>
        <v>4</v>
      </c>
      <c r="I38" s="60" t="str">
        <f t="shared" si="1"/>
        <v>No Match</v>
      </c>
    </row>
    <row r="39" spans="1:9" x14ac:dyDescent="0.25">
      <c r="A39" s="59" t="str">
        <v>Frank Torres</v>
      </c>
      <c r="B39" s="60">
        <f>SUMIF(Table1[Customer_Name],'groupby using formulas'!A39,Table1[Total_Amount])</f>
        <v>1479.91</v>
      </c>
      <c r="G39" s="59" t="str">
        <v>Frank Torres</v>
      </c>
      <c r="H39" s="57">
        <f>COUNTIF(Table1[Customer_Name],G39)</f>
        <v>5</v>
      </c>
      <c r="I39" s="60" t="str">
        <f t="shared" si="1"/>
        <v>No Match</v>
      </c>
    </row>
    <row r="40" spans="1:9" x14ac:dyDescent="0.25">
      <c r="A40" s="59" t="str">
        <v>Gerald Murphy</v>
      </c>
      <c r="B40" s="60">
        <f>SUMIF(Table1[Customer_Name],'groupby using formulas'!A40,Table1[Total_Amount])</f>
        <v>6379.87</v>
      </c>
      <c r="G40" s="59" t="str">
        <v>Gerald Murphy</v>
      </c>
      <c r="H40" s="57">
        <f>COUNTIF(Table1[Customer_Name],G40)</f>
        <v>4</v>
      </c>
      <c r="I40" s="60" t="str">
        <f t="shared" si="1"/>
        <v>No Match</v>
      </c>
    </row>
    <row r="41" spans="1:9" x14ac:dyDescent="0.25">
      <c r="A41" s="59" t="str">
        <v>Elizabeth Hall</v>
      </c>
      <c r="B41" s="60">
        <f>SUMIF(Table1[Customer_Name],'groupby using formulas'!A41,Table1[Total_Amount])</f>
        <v>3649.8599999999997</v>
      </c>
      <c r="G41" s="59" t="str">
        <v>Elizabeth Hall</v>
      </c>
      <c r="H41" s="57">
        <f>COUNTIF(Table1[Customer_Name],G41)</f>
        <v>4</v>
      </c>
      <c r="I41" s="60" t="str">
        <f t="shared" si="1"/>
        <v>No Match</v>
      </c>
    </row>
    <row r="42" spans="1:9" x14ac:dyDescent="0.25">
      <c r="A42" s="59" t="str">
        <v>Lawrence Reed</v>
      </c>
      <c r="B42" s="60">
        <f>SUMIF(Table1[Customer_Name],'groupby using formulas'!A42,Table1[Total_Amount])</f>
        <v>6989.7699999999986</v>
      </c>
      <c r="G42" s="59" t="str">
        <v>Lawrence Reed</v>
      </c>
      <c r="H42" s="57">
        <f>COUNTIF(Table1[Customer_Name],G42)</f>
        <v>8</v>
      </c>
      <c r="I42" s="60" t="str">
        <f t="shared" si="1"/>
        <v>No Match</v>
      </c>
    </row>
    <row r="43" spans="1:9" x14ac:dyDescent="0.25">
      <c r="A43" s="59" t="str">
        <v>Carol Evans</v>
      </c>
      <c r="B43" s="60">
        <f>SUMIF(Table1[Customer_Name],'groupby using formulas'!A43,Table1[Total_Amount])</f>
        <v>1149.93</v>
      </c>
      <c r="G43" s="59" t="str">
        <v>Carol Evans</v>
      </c>
      <c r="H43" s="57">
        <f>COUNTIF(Table1[Customer_Name],G43)</f>
        <v>3</v>
      </c>
      <c r="I43" s="60" t="str">
        <f t="shared" si="1"/>
        <v>No Match</v>
      </c>
    </row>
    <row r="44" spans="1:9" x14ac:dyDescent="0.25">
      <c r="A44" s="59" t="str">
        <v>Sandra Phillips</v>
      </c>
      <c r="B44" s="60">
        <f>SUMIF(Table1[Customer_Name],'groupby using formulas'!A44,Table1[Total_Amount])</f>
        <v>6349.83</v>
      </c>
      <c r="G44" s="59" t="str">
        <v>Sandra Phillips</v>
      </c>
      <c r="H44" s="57">
        <f>COUNTIF(Table1[Customer_Name],G44)</f>
        <v>5</v>
      </c>
      <c r="I44" s="60" t="str">
        <f t="shared" si="1"/>
        <v>No Match</v>
      </c>
    </row>
    <row r="45" spans="1:9" x14ac:dyDescent="0.25">
      <c r="A45" s="59" t="str">
        <v>Ruth Brooks</v>
      </c>
      <c r="B45" s="60">
        <f>SUMIF(Table1[Customer_Name],'groupby using formulas'!A45,Table1[Total_Amount])</f>
        <v>1749.92</v>
      </c>
      <c r="G45" s="59" t="str">
        <v>Ruth Brooks</v>
      </c>
      <c r="H45" s="57">
        <f>COUNTIF(Table1[Customer_Name],G45)</f>
        <v>3</v>
      </c>
      <c r="I45" s="60" t="str">
        <f t="shared" si="1"/>
        <v>No Match</v>
      </c>
    </row>
    <row r="46" spans="1:9" x14ac:dyDescent="0.25">
      <c r="A46" s="59" t="str">
        <v>William White</v>
      </c>
      <c r="B46" s="60">
        <f>SUMIF(Table1[Customer_Name],'groupby using formulas'!A46,Table1[Total_Amount])</f>
        <v>4749.91</v>
      </c>
      <c r="G46" s="59" t="str">
        <v>William White</v>
      </c>
      <c r="H46" s="57">
        <f>COUNTIF(Table1[Customer_Name],G46)</f>
        <v>3</v>
      </c>
      <c r="I46" s="60" t="str">
        <f t="shared" si="1"/>
        <v>No Match</v>
      </c>
    </row>
    <row r="47" spans="1:9" x14ac:dyDescent="0.25">
      <c r="A47" s="59" t="str">
        <v>Richard Lee</v>
      </c>
      <c r="B47" s="60">
        <f>SUMIF(Table1[Customer_Name],'groupby using formulas'!A47,Table1[Total_Amount])</f>
        <v>739.93000000000006</v>
      </c>
      <c r="G47" s="59" t="str">
        <v>Richard Lee</v>
      </c>
      <c r="H47" s="57">
        <f>COUNTIF(Table1[Customer_Name],G47)</f>
        <v>3</v>
      </c>
      <c r="I47" s="60" t="str">
        <f t="shared" si="1"/>
        <v>No Match</v>
      </c>
    </row>
    <row r="48" spans="1:9" x14ac:dyDescent="0.25">
      <c r="A48" s="59" t="str">
        <v>Douglas Watson</v>
      </c>
      <c r="B48" s="60">
        <f>SUMIF(Table1[Customer_Name],'groupby using formulas'!A48,Table1[Total_Amount])</f>
        <v>4829.8899999999994</v>
      </c>
      <c r="G48" s="59" t="str">
        <v>Douglas Watson</v>
      </c>
      <c r="H48" s="57">
        <f>COUNTIF(Table1[Customer_Name],G48)</f>
        <v>4</v>
      </c>
      <c r="I48" s="60" t="str">
        <f t="shared" si="1"/>
        <v>No Match</v>
      </c>
    </row>
    <row r="49" spans="1:9" x14ac:dyDescent="0.25">
      <c r="A49" s="59" t="str">
        <v>James Johnson</v>
      </c>
      <c r="B49" s="60">
        <f>SUMIF(Table1[Customer_Name],'groupby using formulas'!A49,Table1[Total_Amount])</f>
        <v>179.97</v>
      </c>
      <c r="G49" s="59" t="str">
        <v>James Johnson</v>
      </c>
      <c r="H49" s="57">
        <f>COUNTIF(Table1[Customer_Name],G49)</f>
        <v>1</v>
      </c>
      <c r="I49" s="60" t="str">
        <f t="shared" si="1"/>
        <v>No Match</v>
      </c>
    </row>
    <row r="50" spans="1:9" x14ac:dyDescent="0.25">
      <c r="A50" s="59" t="str">
        <v>Arthur Edwards</v>
      </c>
      <c r="B50" s="60">
        <f>SUMIF(Table1[Customer_Name],'groupby using formulas'!A50,Table1[Total_Amount])</f>
        <v>1559.94</v>
      </c>
      <c r="G50" s="59" t="str">
        <v>Arthur Edwards</v>
      </c>
      <c r="H50" s="57">
        <f>COUNTIF(Table1[Customer_Name],G50)</f>
        <v>3</v>
      </c>
      <c r="I50" s="60" t="str">
        <f t="shared" si="1"/>
        <v>No Match</v>
      </c>
    </row>
    <row r="51" spans="1:9" ht="15.75" thickBot="1" x14ac:dyDescent="0.3">
      <c r="A51" s="61" t="str">
        <v>John Smith</v>
      </c>
      <c r="B51" s="62">
        <f>SUMIF(Table1[Customer_Name],'groupby using formulas'!A51,Table1[Total_Amount])</f>
        <v>599.96</v>
      </c>
      <c r="G51" s="61" t="str">
        <v>John Smith</v>
      </c>
      <c r="H51" s="63">
        <f>COUNTIF(Table1[Customer_Name],G51)</f>
        <v>1</v>
      </c>
      <c r="I51" s="62" t="str">
        <f t="shared" si="1"/>
        <v>No Match</v>
      </c>
    </row>
  </sheetData>
  <conditionalFormatting sqref="H1:H1048576 I1">
    <cfRule type="top10" dxfId="1" priority="1" bottom="1" rank="1"/>
    <cfRule type="top10" dxfId="0" priority="2" rank="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312AF-485A-47EA-BBD1-359A4F553CF3}">
  <dimension ref="A1:B12"/>
  <sheetViews>
    <sheetView workbookViewId="0">
      <selection activeCell="E9" sqref="E9"/>
    </sheetView>
  </sheetViews>
  <sheetFormatPr defaultRowHeight="15" x14ac:dyDescent="0.25"/>
  <cols>
    <col min="1" max="1" width="18.5703125" bestFit="1" customWidth="1"/>
    <col min="2" max="2" width="13.28515625" bestFit="1" customWidth="1"/>
  </cols>
  <sheetData>
    <row r="1" spans="1:2" x14ac:dyDescent="0.25">
      <c r="A1" s="99" t="s">
        <v>417</v>
      </c>
      <c r="B1" s="100"/>
    </row>
    <row r="2" spans="1:2" x14ac:dyDescent="0.25">
      <c r="A2" s="69" t="s">
        <v>412</v>
      </c>
      <c r="B2" s="70" t="s">
        <v>18</v>
      </c>
    </row>
    <row r="3" spans="1:2" x14ac:dyDescent="0.25">
      <c r="A3" s="71" t="s">
        <v>413</v>
      </c>
      <c r="B3" s="72">
        <v>249.99</v>
      </c>
    </row>
    <row r="4" spans="1:2" x14ac:dyDescent="0.25">
      <c r="A4" s="71" t="s">
        <v>414</v>
      </c>
      <c r="B4" s="73">
        <v>200.008000320013</v>
      </c>
    </row>
    <row r="5" spans="1:2" x14ac:dyDescent="0.25">
      <c r="A5" s="71" t="s">
        <v>415</v>
      </c>
      <c r="B5" s="74">
        <v>50000</v>
      </c>
    </row>
    <row r="6" spans="1:2" ht="15.75" thickBot="1" x14ac:dyDescent="0.3">
      <c r="A6" s="75" t="s">
        <v>416</v>
      </c>
      <c r="B6" s="62">
        <v>50000</v>
      </c>
    </row>
    <row r="7" spans="1:2" ht="15.75" thickBot="1" x14ac:dyDescent="0.3"/>
    <row r="8" spans="1:2" x14ac:dyDescent="0.25">
      <c r="A8" s="101" t="s">
        <v>418</v>
      </c>
      <c r="B8" s="102"/>
    </row>
    <row r="9" spans="1:2" x14ac:dyDescent="0.25">
      <c r="A9" s="71" t="s">
        <v>427</v>
      </c>
      <c r="B9" s="60">
        <v>80</v>
      </c>
    </row>
    <row r="10" spans="1:2" x14ac:dyDescent="0.25">
      <c r="A10" s="71" t="s">
        <v>428</v>
      </c>
      <c r="B10" s="60">
        <v>30</v>
      </c>
    </row>
    <row r="11" spans="1:2" x14ac:dyDescent="0.25">
      <c r="A11" s="71" t="s">
        <v>429</v>
      </c>
      <c r="B11" s="76">
        <v>0.2</v>
      </c>
    </row>
    <row r="12" spans="1:2" ht="15.75" thickBot="1" x14ac:dyDescent="0.3">
      <c r="A12" s="75" t="s">
        <v>430</v>
      </c>
      <c r="B12" s="62">
        <f>B9*B10*(1-B11)</f>
        <v>1920</v>
      </c>
    </row>
  </sheetData>
  <scenarios current="0" show="0" sqref="B12">
    <scenario name="Best case" locked="1" count="3" user="MAYUR MAKVANA" comment="Created by MAYUR MAKVANA on 18-01-2026_x000a_Modified by MAYUR MAKVANA on 18-01-2026">
      <inputCells r="B9" val="100"/>
      <inputCells r="B10" val="50"/>
      <inputCells r="B11" val="0.1" numFmtId="9"/>
    </scenario>
    <scenario name="Average Case" locked="1" count="3" user="MAYUR MAKVANA" comment="Created by MAYUR MAKVANA on 18-01-2026">
      <inputCells r="B9" val="120"/>
      <inputCells r="B10" val="70"/>
      <inputCells r="B11" val="0.05" numFmtId="9"/>
    </scenario>
    <scenario name="worst case" locked="1" count="3" user="MAYUR MAKVANA" comment="Created by MAYUR MAKVANA on 18-01-2026">
      <inputCells r="B9" val="80"/>
      <inputCells r="B10" val="30"/>
      <inputCells r="B11" val="0.2" numFmtId="9"/>
    </scenario>
  </scenarios>
  <mergeCells count="2">
    <mergeCell ref="A1:B1"/>
    <mergeCell ref="A8:B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335A-CE5C-42DC-A49A-1E2EEC87B2E6}">
  <sheetPr>
    <outlinePr summaryBelow="0"/>
  </sheetPr>
  <dimension ref="B1:G13"/>
  <sheetViews>
    <sheetView showGridLines="0" workbookViewId="0"/>
  </sheetViews>
  <sheetFormatPr defaultRowHeight="15" outlineLevelRow="1" outlineLevelCol="1" x14ac:dyDescent="0.25"/>
  <cols>
    <col min="3" max="3" width="6.140625" bestFit="1" customWidth="1"/>
    <col min="4" max="7" width="13.140625" bestFit="1" customWidth="1" outlineLevel="1"/>
  </cols>
  <sheetData>
    <row r="1" spans="2:7" ht="15.75" thickBot="1" x14ac:dyDescent="0.3"/>
    <row r="2" spans="2:7" ht="15.75" x14ac:dyDescent="0.25">
      <c r="B2" s="37" t="s">
        <v>421</v>
      </c>
      <c r="C2" s="37"/>
      <c r="D2" s="41"/>
      <c r="E2" s="41"/>
      <c r="F2" s="41"/>
      <c r="G2" s="41"/>
    </row>
    <row r="3" spans="2:7" ht="15.75" collapsed="1" x14ac:dyDescent="0.25">
      <c r="B3" s="36"/>
      <c r="C3" s="36"/>
      <c r="D3" s="42" t="s">
        <v>423</v>
      </c>
      <c r="E3" s="42" t="s">
        <v>419</v>
      </c>
      <c r="F3" s="42" t="s">
        <v>437</v>
      </c>
      <c r="G3" s="42" t="s">
        <v>438</v>
      </c>
    </row>
    <row r="4" spans="2:7" ht="67.5" hidden="1" outlineLevel="1" x14ac:dyDescent="0.25">
      <c r="B4" s="39"/>
      <c r="C4" s="39"/>
      <c r="E4" s="43" t="s">
        <v>435</v>
      </c>
      <c r="F4" s="43" t="s">
        <v>420</v>
      </c>
      <c r="G4" s="43" t="s">
        <v>420</v>
      </c>
    </row>
    <row r="5" spans="2:7" x14ac:dyDescent="0.25">
      <c r="B5" s="40" t="s">
        <v>422</v>
      </c>
      <c r="C5" s="40"/>
      <c r="D5" s="38"/>
      <c r="E5" s="38"/>
      <c r="F5" s="38"/>
      <c r="G5" s="38"/>
    </row>
    <row r="6" spans="2:7" outlineLevel="1" x14ac:dyDescent="0.25">
      <c r="B6" s="39"/>
      <c r="C6" s="39" t="s">
        <v>431</v>
      </c>
      <c r="D6">
        <v>80</v>
      </c>
      <c r="E6" s="46">
        <v>100</v>
      </c>
      <c r="F6" s="46">
        <v>120</v>
      </c>
      <c r="G6" s="46">
        <v>80</v>
      </c>
    </row>
    <row r="7" spans="2:7" outlineLevel="1" x14ac:dyDescent="0.25">
      <c r="B7" s="39"/>
      <c r="C7" s="39" t="s">
        <v>432</v>
      </c>
      <c r="D7">
        <v>30</v>
      </c>
      <c r="E7" s="46">
        <v>50</v>
      </c>
      <c r="F7" s="46">
        <v>70</v>
      </c>
      <c r="G7" s="46">
        <v>30</v>
      </c>
    </row>
    <row r="8" spans="2:7" outlineLevel="1" x14ac:dyDescent="0.25">
      <c r="B8" s="39"/>
      <c r="C8" s="39" t="s">
        <v>433</v>
      </c>
      <c r="D8" s="44">
        <v>0.2</v>
      </c>
      <c r="E8" s="47">
        <v>0.1</v>
      </c>
      <c r="F8" s="47">
        <v>0.05</v>
      </c>
      <c r="G8" s="47">
        <v>0.2</v>
      </c>
    </row>
    <row r="9" spans="2:7" x14ac:dyDescent="0.25">
      <c r="B9" s="40" t="s">
        <v>436</v>
      </c>
      <c r="C9" s="40"/>
      <c r="D9" s="38"/>
      <c r="E9" s="38"/>
      <c r="F9" s="38"/>
      <c r="G9" s="38"/>
    </row>
    <row r="10" spans="2:7" ht="15.75" outlineLevel="1" thickBot="1" x14ac:dyDescent="0.3">
      <c r="B10" s="45"/>
      <c r="C10" s="45" t="s">
        <v>434</v>
      </c>
      <c r="D10" s="35">
        <v>1920</v>
      </c>
      <c r="E10" s="35">
        <v>4500</v>
      </c>
      <c r="F10" s="35">
        <v>7980</v>
      </c>
      <c r="G10" s="35">
        <v>1920</v>
      </c>
    </row>
    <row r="11" spans="2:7" x14ac:dyDescent="0.25">
      <c r="B11" t="s">
        <v>424</v>
      </c>
    </row>
    <row r="12" spans="2:7" x14ac:dyDescent="0.25">
      <c r="B12" t="s">
        <v>425</v>
      </c>
    </row>
    <row r="13" spans="2:7" x14ac:dyDescent="0.25">
      <c r="B13" t="s">
        <v>426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BC810-8668-4969-97C9-1D5FE0A343F9}">
  <dimension ref="A1:I19"/>
  <sheetViews>
    <sheetView workbookViewId="0">
      <selection activeCell="M14" sqref="M14"/>
    </sheetView>
  </sheetViews>
  <sheetFormatPr defaultRowHeight="15" x14ac:dyDescent="0.25"/>
  <cols>
    <col min="1" max="1" width="18" bestFit="1" customWidth="1"/>
    <col min="2" max="2" width="12.7109375" bestFit="1" customWidth="1"/>
    <col min="3" max="3" width="14.5703125" bestFit="1" customWidth="1"/>
    <col min="4" max="4" width="12.7109375" bestFit="1" customWidth="1"/>
    <col min="5" max="5" width="12" bestFit="1" customWidth="1"/>
    <col min="6" max="6" width="13.42578125" bestFit="1" customWidth="1"/>
    <col min="7" max="7" width="12" bestFit="1" customWidth="1"/>
    <col min="8" max="8" width="12.7109375" bestFit="1" customWidth="1"/>
    <col min="9" max="9" width="12.5703125" bestFit="1" customWidth="1"/>
  </cols>
  <sheetData>
    <row r="1" spans="1:9" ht="26.25" x14ac:dyDescent="0.4">
      <c r="A1" s="103" t="s">
        <v>486</v>
      </c>
      <c r="B1" s="104"/>
      <c r="C1" s="104"/>
      <c r="D1" s="104"/>
      <c r="E1" s="104"/>
      <c r="F1" s="104"/>
      <c r="G1" s="104"/>
      <c r="H1" s="104"/>
      <c r="I1" s="105"/>
    </row>
    <row r="2" spans="1:9" x14ac:dyDescent="0.25">
      <c r="A2" s="71" t="s">
        <v>439</v>
      </c>
      <c r="B2" s="57"/>
      <c r="C2" s="57"/>
      <c r="D2" s="57"/>
      <c r="E2" s="57"/>
      <c r="F2" s="57"/>
      <c r="G2" s="57"/>
      <c r="H2" s="57"/>
      <c r="I2" s="60"/>
    </row>
    <row r="3" spans="1:9" x14ac:dyDescent="0.25">
      <c r="A3" s="71"/>
      <c r="B3" s="57"/>
      <c r="C3" s="57"/>
      <c r="D3" s="57"/>
      <c r="E3" s="57"/>
      <c r="F3" s="57"/>
      <c r="G3" s="57"/>
      <c r="H3" s="57"/>
      <c r="I3" s="60"/>
    </row>
    <row r="4" spans="1:9" x14ac:dyDescent="0.25">
      <c r="A4" s="79" t="s">
        <v>440</v>
      </c>
      <c r="B4" s="77"/>
      <c r="C4" s="57"/>
      <c r="D4" s="57"/>
      <c r="E4" s="57"/>
      <c r="F4" s="57"/>
      <c r="G4" s="57"/>
      <c r="H4" s="57"/>
      <c r="I4" s="60"/>
    </row>
    <row r="5" spans="1:9" x14ac:dyDescent="0.25">
      <c r="A5" s="71" t="s">
        <v>441</v>
      </c>
      <c r="B5" s="57">
        <v>0.45809869406349091</v>
      </c>
      <c r="C5" s="57"/>
      <c r="D5" s="57"/>
      <c r="E5" s="57"/>
      <c r="F5" s="57"/>
      <c r="G5" s="57"/>
      <c r="H5" s="57"/>
      <c r="I5" s="60"/>
    </row>
    <row r="6" spans="1:9" x14ac:dyDescent="0.25">
      <c r="A6" s="71" t="s">
        <v>442</v>
      </c>
      <c r="B6" s="57">
        <v>0.20985441350267586</v>
      </c>
      <c r="C6" s="57"/>
      <c r="D6" s="57"/>
      <c r="E6" s="57"/>
      <c r="F6" s="57"/>
      <c r="G6" s="57"/>
      <c r="H6" s="57"/>
      <c r="I6" s="60"/>
    </row>
    <row r="7" spans="1:9" x14ac:dyDescent="0.25">
      <c r="A7" s="71" t="s">
        <v>443</v>
      </c>
      <c r="B7" s="57">
        <v>0.20665544351685675</v>
      </c>
      <c r="C7" s="57"/>
      <c r="D7" s="57"/>
      <c r="E7" s="57"/>
      <c r="F7" s="57"/>
      <c r="G7" s="57"/>
      <c r="H7" s="57"/>
      <c r="I7" s="60"/>
    </row>
    <row r="8" spans="1:9" x14ac:dyDescent="0.25">
      <c r="A8" s="71" t="s">
        <v>444</v>
      </c>
      <c r="B8" s="57">
        <v>921.40854264214693</v>
      </c>
      <c r="C8" s="57"/>
      <c r="D8" s="57"/>
      <c r="E8" s="57"/>
      <c r="F8" s="57"/>
      <c r="G8" s="57"/>
      <c r="H8" s="57"/>
      <c r="I8" s="60"/>
    </row>
    <row r="9" spans="1:9" x14ac:dyDescent="0.25">
      <c r="A9" s="71" t="s">
        <v>445</v>
      </c>
      <c r="B9" s="57">
        <v>249</v>
      </c>
      <c r="C9" s="57"/>
      <c r="D9" s="57"/>
      <c r="E9" s="57"/>
      <c r="F9" s="57"/>
      <c r="G9" s="57"/>
      <c r="H9" s="57"/>
      <c r="I9" s="60"/>
    </row>
    <row r="10" spans="1:9" x14ac:dyDescent="0.25">
      <c r="A10" s="71"/>
      <c r="B10" s="57"/>
      <c r="C10" s="57"/>
      <c r="D10" s="57"/>
      <c r="E10" s="57"/>
      <c r="F10" s="57"/>
      <c r="G10" s="57"/>
      <c r="H10" s="57"/>
      <c r="I10" s="60"/>
    </row>
    <row r="11" spans="1:9" x14ac:dyDescent="0.25">
      <c r="A11" s="71" t="s">
        <v>446</v>
      </c>
      <c r="B11" s="57"/>
      <c r="C11" s="57"/>
      <c r="D11" s="57"/>
      <c r="E11" s="57"/>
      <c r="F11" s="57"/>
      <c r="G11" s="57"/>
      <c r="H11" s="57"/>
      <c r="I11" s="60"/>
    </row>
    <row r="12" spans="1:9" x14ac:dyDescent="0.25">
      <c r="A12" s="80"/>
      <c r="B12" s="78" t="s">
        <v>451</v>
      </c>
      <c r="C12" s="78" t="s">
        <v>452</v>
      </c>
      <c r="D12" s="78" t="s">
        <v>453</v>
      </c>
      <c r="E12" s="78" t="s">
        <v>454</v>
      </c>
      <c r="F12" s="78" t="s">
        <v>455</v>
      </c>
      <c r="G12" s="57"/>
      <c r="H12" s="57"/>
      <c r="I12" s="60"/>
    </row>
    <row r="13" spans="1:9" x14ac:dyDescent="0.25">
      <c r="A13" s="71" t="s">
        <v>447</v>
      </c>
      <c r="B13" s="57">
        <v>1</v>
      </c>
      <c r="C13" s="57">
        <v>55694513.010666132</v>
      </c>
      <c r="D13" s="57">
        <v>55694513.010666132</v>
      </c>
      <c r="E13" s="57">
        <v>65.600619709765951</v>
      </c>
      <c r="F13" s="57">
        <v>2.5391277291094679E-14</v>
      </c>
      <c r="G13" s="57"/>
      <c r="H13" s="57"/>
      <c r="I13" s="60"/>
    </row>
    <row r="14" spans="1:9" x14ac:dyDescent="0.25">
      <c r="A14" s="71" t="s">
        <v>448</v>
      </c>
      <c r="B14" s="57">
        <v>247</v>
      </c>
      <c r="C14" s="57">
        <v>209701444.50611952</v>
      </c>
      <c r="D14" s="57">
        <v>848993.70245392516</v>
      </c>
      <c r="E14" s="57"/>
      <c r="F14" s="57"/>
      <c r="G14" s="57"/>
      <c r="H14" s="57"/>
      <c r="I14" s="60"/>
    </row>
    <row r="15" spans="1:9" x14ac:dyDescent="0.25">
      <c r="A15" s="71" t="s">
        <v>449</v>
      </c>
      <c r="B15" s="57">
        <v>248</v>
      </c>
      <c r="C15" s="57">
        <v>265395957.51678565</v>
      </c>
      <c r="D15" s="57"/>
      <c r="E15" s="57"/>
      <c r="F15" s="57"/>
      <c r="G15" s="57"/>
      <c r="H15" s="57"/>
      <c r="I15" s="60"/>
    </row>
    <row r="16" spans="1:9" x14ac:dyDescent="0.25">
      <c r="A16" s="71"/>
      <c r="B16" s="57"/>
      <c r="C16" s="57"/>
      <c r="D16" s="57"/>
      <c r="E16" s="57"/>
      <c r="F16" s="57"/>
      <c r="G16" s="57"/>
      <c r="H16" s="57"/>
      <c r="I16" s="60"/>
    </row>
    <row r="17" spans="1:9" x14ac:dyDescent="0.25">
      <c r="A17" s="80"/>
      <c r="B17" s="78" t="s">
        <v>456</v>
      </c>
      <c r="C17" s="78" t="s">
        <v>444</v>
      </c>
      <c r="D17" s="78" t="s">
        <v>457</v>
      </c>
      <c r="E17" s="78" t="s">
        <v>458</v>
      </c>
      <c r="F17" s="78" t="s">
        <v>459</v>
      </c>
      <c r="G17" s="78" t="s">
        <v>460</v>
      </c>
      <c r="H17" s="78" t="s">
        <v>461</v>
      </c>
      <c r="I17" s="81" t="s">
        <v>462</v>
      </c>
    </row>
    <row r="18" spans="1:9" x14ac:dyDescent="0.25">
      <c r="A18" s="71" t="s">
        <v>450</v>
      </c>
      <c r="B18" s="57">
        <v>-148.18856276399686</v>
      </c>
      <c r="C18" s="57">
        <v>143.94399015159905</v>
      </c>
      <c r="D18" s="57">
        <v>-1.029487668140417</v>
      </c>
      <c r="E18" s="57">
        <v>0.30425761488766012</v>
      </c>
      <c r="F18" s="57">
        <v>-431.70276968654099</v>
      </c>
      <c r="G18" s="57">
        <v>135.32564415854728</v>
      </c>
      <c r="H18" s="57">
        <v>-431.70276968654099</v>
      </c>
      <c r="I18" s="60">
        <v>135.32564415854728</v>
      </c>
    </row>
    <row r="19" spans="1:9" ht="15.75" thickBot="1" x14ac:dyDescent="0.3">
      <c r="A19" s="75">
        <v>3</v>
      </c>
      <c r="B19" s="63">
        <v>353.78860283764737</v>
      </c>
      <c r="C19" s="63">
        <v>43.680727926547888</v>
      </c>
      <c r="D19" s="63">
        <v>8.099420949041118</v>
      </c>
      <c r="E19" s="63">
        <v>2.5391277291093214E-14</v>
      </c>
      <c r="F19" s="63">
        <v>267.75439659637294</v>
      </c>
      <c r="G19" s="63">
        <v>439.82280907892181</v>
      </c>
      <c r="H19" s="63">
        <v>267.75439659637294</v>
      </c>
      <c r="I19" s="62">
        <v>439.82280907892181</v>
      </c>
    </row>
  </sheetData>
  <mergeCells count="1">
    <mergeCell ref="A1:I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top Customers</vt:lpstr>
      <vt:lpstr>Top Products</vt:lpstr>
      <vt:lpstr>pivot and charts</vt:lpstr>
      <vt:lpstr>Row_Data</vt:lpstr>
      <vt:lpstr>Data_cleaning</vt:lpstr>
      <vt:lpstr>groupby using formulas</vt:lpstr>
      <vt:lpstr>what if</vt:lpstr>
      <vt:lpstr>Scenario Summary 3</vt:lpstr>
      <vt:lpstr>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Makwana</dc:creator>
  <cp:lastModifiedBy>Mayur Makwana</cp:lastModifiedBy>
  <cp:lastPrinted>2026-01-20T08:23:08Z</cp:lastPrinted>
  <dcterms:created xsi:type="dcterms:W3CDTF">2026-01-18T08:42:25Z</dcterms:created>
  <dcterms:modified xsi:type="dcterms:W3CDTF">2026-02-04T08:47:42Z</dcterms:modified>
</cp:coreProperties>
</file>